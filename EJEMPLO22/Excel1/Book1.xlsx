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<sst xmlns="http://schemas.openxmlformats.org/spreadsheetml/2006/main" count="109" uniqueCount="81">
  <si>
    <t>ANÁLSIS HISTÓRICO</t>
  </si>
  <si>
    <t>DIVERSIDAD DEL ESPACIO TERRESTRE</t>
  </si>
  <si>
    <t>IDIOMA III</t>
  </si>
  <si>
    <t>MODELOS MATEMÁTICOS BASICOS</t>
  </si>
  <si>
    <t>PRODUCCIÓN DE TEXTOS</t>
  </si>
  <si>
    <t>SOLUCIONES TECNOLÓGICAS</t>
  </si>
  <si>
    <t>TRANSFORMACIÓN DE LA MATERIA</t>
  </si>
  <si>
    <t>EXPRESION ARTISTICA</t>
  </si>
  <si>
    <t>No. de cuenta</t>
  </si>
  <si>
    <t>Nombre</t>
  </si>
  <si>
    <t>H</t>
  </si>
  <si>
    <t>C</t>
  </si>
  <si>
    <t>A</t>
  </si>
  <si>
    <t>Final parcial</t>
  </si>
  <si>
    <t>CURSA</t>
  </si>
  <si>
    <t>REPRO</t>
  </si>
  <si>
    <t>APRO</t>
  </si>
  <si>
    <t>PROMEDIO</t>
  </si>
  <si>
    <t>515149</t>
  </si>
  <si>
    <t>ALVAREZ CRUZ  LENNY DANAHE</t>
  </si>
  <si>
    <t>513309</t>
  </si>
  <si>
    <t>ANGELES PEREZ  ROGELIO SEBASTIAN</t>
  </si>
  <si>
    <t>517255</t>
  </si>
  <si>
    <t>ANTONIO LORENZO  SHARON JIMENA</t>
  </si>
  <si>
    <t>514075</t>
  </si>
  <si>
    <t>CRUZ CRUZ  SEBASTIAN</t>
  </si>
  <si>
    <t>521795</t>
  </si>
  <si>
    <t>DURAN CHAVEZ  CAMILA ZANDILY</t>
  </si>
  <si>
    <t>523532</t>
  </si>
  <si>
    <t>ESCOBAR ALVARADO  DULCE ABIGAIL</t>
  </si>
  <si>
    <t>519014</t>
  </si>
  <si>
    <t>ESTRADA RAMIREZ  CYNTHIA ZOE</t>
  </si>
  <si>
    <t>513727</t>
  </si>
  <si>
    <t>FLORES CORONA  MARIA JOSE</t>
  </si>
  <si>
    <t>513449</t>
  </si>
  <si>
    <t>GODINEZ HERNANDEZ  JUAN PABLO</t>
  </si>
  <si>
    <t>515177</t>
  </si>
  <si>
    <t>GONZALEZ BARRERA  KARLA ALEXA</t>
  </si>
  <si>
    <t>523243</t>
  </si>
  <si>
    <t>GONZALEZ SANCHEZ  KIMBERLY</t>
  </si>
  <si>
    <t>513340</t>
  </si>
  <si>
    <t>GUERRERO RIOS  BRAYAN ALEXANDER</t>
  </si>
  <si>
    <t>518953</t>
  </si>
  <si>
    <t>GUTIERREZ OLVERA  ILSE</t>
  </si>
  <si>
    <t>518393</t>
  </si>
  <si>
    <t>HERNANDEZ CABRERA  MIGUEL ANGEL</t>
  </si>
  <si>
    <t>518391</t>
  </si>
  <si>
    <t>HERREJON ALVAREZ  DANIELA NOFRITH</t>
  </si>
  <si>
    <t>517570</t>
  </si>
  <si>
    <t>JUAREZ GARCIA  YOANA ARACELY</t>
  </si>
  <si>
    <t>LOPEZ AGUILAR VALERIA LIZETH</t>
  </si>
  <si>
    <t>518011</t>
  </si>
  <si>
    <t>LOPEZ DE JESUS  ANGEL JARED</t>
  </si>
  <si>
    <t>514183</t>
  </si>
  <si>
    <t>MEDINA MARMOLEJO  DIEGO</t>
  </si>
  <si>
    <t>522198</t>
  </si>
  <si>
    <t>MEZA MELCHOR  DAVID</t>
  </si>
  <si>
    <t>517350</t>
  </si>
  <si>
    <t>NERIA PEREZ  MICHELLE ABIGAIL</t>
  </si>
  <si>
    <t>523517</t>
  </si>
  <si>
    <t>OLGUIN GARCIA  STEVEN GILBERTO</t>
  </si>
  <si>
    <t>513508</t>
  </si>
  <si>
    <t>RAMIREZ SANCHEZ  AHMED</t>
  </si>
  <si>
    <t>514090</t>
  </si>
  <si>
    <t>RAMIREZ TELLEZ  LIZZETH VALENTINA</t>
  </si>
  <si>
    <t>515807</t>
  </si>
  <si>
    <t>RESENDIZ RAMIREZ  FERNANDA</t>
  </si>
  <si>
    <t>516769</t>
  </si>
  <si>
    <t>RIVERA RAMIREZ  JESUS EDUARDO</t>
  </si>
  <si>
    <t>517102</t>
  </si>
  <si>
    <t>RODRIGUEZ JIMENEZ  DANIELA</t>
  </si>
  <si>
    <t>518103</t>
  </si>
  <si>
    <t>TOBON SALAS  FERNANDA ALEJANDRA</t>
  </si>
  <si>
    <t>516199</t>
  </si>
  <si>
    <t>TORRES GRESS  LUIS JONATHAN</t>
  </si>
  <si>
    <t>513329</t>
  </si>
  <si>
    <t>VARGAS HERNANDEZ  ROMINA</t>
  </si>
  <si>
    <t>514340</t>
  </si>
  <si>
    <t>VILLANUEVA CORTEZ  AZUL SELINA</t>
  </si>
  <si>
    <t>516440</t>
  </si>
  <si>
    <t>ZUÑIGA FALCON  HECTOR ANDRES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</si>
</sst>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8"/>
      <color rgb="FF000000"/>
      <name val="Calibri"/>
      <charset val="134"/>
    </font>
    <font>
      <b/>
      <sz val="9"/>
      <color rgb="FFD94E05"/>
      <name val="Arial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sz val="9"/>
      <color rgb="FF801010"/>
      <name val="Arial"/>
      <charset val="134"/>
    </font>
    <font>
      <b/>
      <sz val="8"/>
      <color rgb="FFD94E0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2" fontId="4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/>
    <xf numFmtId="0" fontId="6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4"/>
  <sheetViews>
    <sheetView tabSelected="1" workbookViewId="0">
      <selection activeCell="V38" sqref="V38"/>
    </sheetView>
  </sheetViews>
  <sheetFormatPr defaultColWidth="8.72727272727273" defaultRowHeight="14.5"/>
  <sheetData>
    <row r="1" spans="1:45">
      <c r="A1" s="1"/>
      <c r="B1" s="1"/>
      <c r="C1" s="2" t="s">
        <v>0</v>
      </c>
      <c r="D1" s="2"/>
      <c r="E1" s="2"/>
      <c r="F1" s="2"/>
      <c r="G1" s="1"/>
      <c r="H1" s="2" t="s">
        <v>1</v>
      </c>
      <c r="I1" s="2"/>
      <c r="J1" s="2"/>
      <c r="K1" s="2"/>
      <c r="L1" s="1"/>
      <c r="M1" s="2" t="s">
        <v>2</v>
      </c>
      <c r="N1" s="2"/>
      <c r="O1" s="2"/>
      <c r="P1" s="2"/>
      <c r="Q1" s="1"/>
      <c r="R1" s="2" t="s">
        <v>3</v>
      </c>
      <c r="S1" s="2"/>
      <c r="T1" s="2"/>
      <c r="U1" s="2"/>
      <c r="V1" s="1"/>
      <c r="W1" s="2" t="s">
        <v>4</v>
      </c>
      <c r="X1" s="2"/>
      <c r="Y1" s="2"/>
      <c r="Z1" s="2"/>
      <c r="AA1" s="1"/>
      <c r="AB1" s="2" t="s">
        <v>5</v>
      </c>
      <c r="AC1" s="2"/>
      <c r="AD1" s="2"/>
      <c r="AE1" s="2"/>
      <c r="AF1" s="1"/>
      <c r="AG1" s="2" t="s">
        <v>6</v>
      </c>
      <c r="AH1" s="2"/>
      <c r="AI1" s="2"/>
      <c r="AJ1" s="2"/>
      <c r="AK1" s="1"/>
      <c r="AL1" s="2" t="s">
        <v>7</v>
      </c>
      <c r="AM1" s="2"/>
      <c r="AN1" s="2"/>
      <c r="AO1" s="2"/>
      <c r="AP1" s="1"/>
      <c r="AQ1" s="1"/>
      <c r="AR1" s="1"/>
      <c r="AS1" s="1"/>
    </row>
    <row r="2" ht="23" spans="1:4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/>
      <c r="H2" s="3" t="s">
        <v>10</v>
      </c>
      <c r="I2" s="3" t="s">
        <v>11</v>
      </c>
      <c r="J2" s="3" t="s">
        <v>12</v>
      </c>
      <c r="K2" s="3" t="s">
        <v>13</v>
      </c>
      <c r="L2" s="4"/>
      <c r="M2" s="3" t="s">
        <v>10</v>
      </c>
      <c r="N2" s="3" t="s">
        <v>11</v>
      </c>
      <c r="O2" s="3" t="s">
        <v>12</v>
      </c>
      <c r="P2" s="3" t="s">
        <v>13</v>
      </c>
      <c r="Q2" s="4"/>
      <c r="R2" s="3" t="s">
        <v>10</v>
      </c>
      <c r="S2" s="3" t="s">
        <v>11</v>
      </c>
      <c r="T2" s="3" t="s">
        <v>12</v>
      </c>
      <c r="U2" s="3" t="s">
        <v>13</v>
      </c>
      <c r="V2" s="4"/>
      <c r="W2" s="3" t="s">
        <v>10</v>
      </c>
      <c r="X2" s="3" t="s">
        <v>11</v>
      </c>
      <c r="Y2" s="3" t="s">
        <v>12</v>
      </c>
      <c r="Z2" s="3" t="s">
        <v>13</v>
      </c>
      <c r="AA2" s="4"/>
      <c r="AB2" s="3" t="s">
        <v>10</v>
      </c>
      <c r="AC2" s="3" t="s">
        <v>11</v>
      </c>
      <c r="AD2" s="3" t="s">
        <v>12</v>
      </c>
      <c r="AE2" s="3" t="s">
        <v>13</v>
      </c>
      <c r="AF2" s="4"/>
      <c r="AG2" s="3" t="s">
        <v>10</v>
      </c>
      <c r="AH2" s="3" t="s">
        <v>11</v>
      </c>
      <c r="AI2" s="3" t="s">
        <v>12</v>
      </c>
      <c r="AJ2" s="3" t="s">
        <v>13</v>
      </c>
      <c r="AK2" s="4"/>
      <c r="AL2" s="3" t="s">
        <v>10</v>
      </c>
      <c r="AM2" s="3" t="s">
        <v>11</v>
      </c>
      <c r="AN2" s="3" t="s">
        <v>12</v>
      </c>
      <c r="AO2" s="3" t="s">
        <v>13</v>
      </c>
      <c r="AP2" s="12" t="s">
        <v>14</v>
      </c>
      <c r="AQ2" s="12" t="s">
        <v>15</v>
      </c>
      <c r="AR2" s="12" t="s">
        <v>16</v>
      </c>
      <c r="AS2" s="12" t="s">
        <v>17</v>
      </c>
    </row>
    <row r="3" spans="1:45">
      <c r="A3" s="5" t="s">
        <v>18</v>
      </c>
      <c r="B3" s="6" t="s">
        <v>19</v>
      </c>
      <c r="C3" s="7">
        <v>9.44</v>
      </c>
      <c r="D3" s="7">
        <v>10</v>
      </c>
      <c r="E3" s="7">
        <v>10</v>
      </c>
      <c r="F3" s="8">
        <v>9.5</v>
      </c>
      <c r="G3" s="4"/>
      <c r="H3" s="7">
        <v>8.28</v>
      </c>
      <c r="I3" s="7">
        <v>10</v>
      </c>
      <c r="J3" s="7">
        <v>10</v>
      </c>
      <c r="K3" s="8">
        <v>8.45</v>
      </c>
      <c r="L3" s="4"/>
      <c r="M3" s="7">
        <v>5.83</v>
      </c>
      <c r="N3" s="7">
        <v>10</v>
      </c>
      <c r="O3" s="7">
        <v>10</v>
      </c>
      <c r="P3" s="8">
        <v>6.04</v>
      </c>
      <c r="Q3" s="4"/>
      <c r="R3" s="6"/>
      <c r="S3" s="6"/>
      <c r="T3" s="6"/>
      <c r="U3" s="6"/>
      <c r="V3" s="4"/>
      <c r="W3" s="7">
        <v>8</v>
      </c>
      <c r="X3" s="7">
        <v>10</v>
      </c>
      <c r="Y3" s="7">
        <v>10</v>
      </c>
      <c r="Z3" s="8">
        <v>8.2</v>
      </c>
      <c r="AA3" s="4"/>
      <c r="AB3" s="7">
        <v>8.16</v>
      </c>
      <c r="AC3" s="7">
        <v>10</v>
      </c>
      <c r="AD3" s="7">
        <v>10</v>
      </c>
      <c r="AE3" s="8">
        <v>8.34</v>
      </c>
      <c r="AF3" s="4"/>
      <c r="AG3" s="7">
        <v>7.38</v>
      </c>
      <c r="AH3" s="7">
        <v>10</v>
      </c>
      <c r="AI3" s="7">
        <v>10</v>
      </c>
      <c r="AJ3" s="8">
        <v>7.64</v>
      </c>
      <c r="AK3" s="4"/>
      <c r="AL3" s="7">
        <v>9.88</v>
      </c>
      <c r="AM3" s="7">
        <v>10</v>
      </c>
      <c r="AN3" s="7">
        <v>10</v>
      </c>
      <c r="AO3" s="8">
        <v>9.89</v>
      </c>
      <c r="AP3" s="4">
        <v>7</v>
      </c>
      <c r="AQ3" s="13">
        <v>1</v>
      </c>
      <c r="AR3" s="4">
        <f t="shared" ref="AR3:AR34" si="0">AP3-AQ3</f>
        <v>6</v>
      </c>
      <c r="AS3" s="4">
        <f t="shared" ref="AS3:AS34" si="1">(F3+K3+P3+U3+Z3+AE3+AJ3+AO3)/AP3</f>
        <v>8.29428571428572</v>
      </c>
    </row>
    <row r="4" spans="1:45">
      <c r="A4" s="5" t="s">
        <v>20</v>
      </c>
      <c r="B4" s="6" t="s">
        <v>21</v>
      </c>
      <c r="C4" s="6"/>
      <c r="D4" s="6"/>
      <c r="E4" s="6"/>
      <c r="F4" s="6"/>
      <c r="G4" s="4"/>
      <c r="H4" s="7">
        <v>4.46</v>
      </c>
      <c r="I4" s="7">
        <v>10</v>
      </c>
      <c r="J4" s="7">
        <v>10</v>
      </c>
      <c r="K4" s="8">
        <v>5.01</v>
      </c>
      <c r="L4" s="4"/>
      <c r="M4" s="6"/>
      <c r="N4" s="6"/>
      <c r="O4" s="6"/>
      <c r="P4" s="6"/>
      <c r="Q4" s="4"/>
      <c r="R4" s="6"/>
      <c r="S4" s="6"/>
      <c r="T4" s="6"/>
      <c r="U4" s="6"/>
      <c r="V4" s="4"/>
      <c r="W4" s="7">
        <v>8.32</v>
      </c>
      <c r="X4" s="7">
        <v>10</v>
      </c>
      <c r="Y4" s="7">
        <v>10</v>
      </c>
      <c r="Z4" s="8">
        <v>8.49</v>
      </c>
      <c r="AA4" s="4"/>
      <c r="AB4" s="7">
        <v>7.52</v>
      </c>
      <c r="AC4" s="7">
        <v>10</v>
      </c>
      <c r="AD4" s="7">
        <v>10</v>
      </c>
      <c r="AE4" s="8">
        <v>7.77</v>
      </c>
      <c r="AF4" s="4"/>
      <c r="AG4" s="7">
        <v>6.8</v>
      </c>
      <c r="AH4" s="7">
        <v>10</v>
      </c>
      <c r="AI4" s="7">
        <v>10</v>
      </c>
      <c r="AJ4" s="8">
        <v>7.12</v>
      </c>
      <c r="AK4" s="4"/>
      <c r="AL4" s="7">
        <v>8.71</v>
      </c>
      <c r="AM4" s="7">
        <v>10</v>
      </c>
      <c r="AN4" s="7">
        <v>10</v>
      </c>
      <c r="AO4" s="8">
        <v>8.84</v>
      </c>
      <c r="AP4" s="14">
        <v>6</v>
      </c>
      <c r="AQ4" s="14">
        <v>1</v>
      </c>
      <c r="AR4" s="4">
        <f t="shared" si="0"/>
        <v>5</v>
      </c>
      <c r="AS4" s="4">
        <f>(F4+K4+P4+U5+Z4+AE4+AJ4+AO4)/AP4</f>
        <v>7.27666666666667</v>
      </c>
    </row>
    <row r="5" spans="1:45">
      <c r="A5" s="5" t="s">
        <v>22</v>
      </c>
      <c r="B5" s="6" t="s">
        <v>23</v>
      </c>
      <c r="C5" s="7">
        <v>9.44</v>
      </c>
      <c r="D5" s="7">
        <v>10</v>
      </c>
      <c r="E5" s="7">
        <v>10</v>
      </c>
      <c r="F5" s="8">
        <v>9.5</v>
      </c>
      <c r="G5" s="4"/>
      <c r="H5" s="7">
        <v>7.27</v>
      </c>
      <c r="I5" s="7">
        <v>10</v>
      </c>
      <c r="J5" s="7">
        <v>10</v>
      </c>
      <c r="K5" s="8">
        <v>7.54</v>
      </c>
      <c r="L5" s="4"/>
      <c r="M5" s="7">
        <v>9.24</v>
      </c>
      <c r="N5" s="7">
        <v>10</v>
      </c>
      <c r="O5" s="7">
        <v>10</v>
      </c>
      <c r="P5" s="8">
        <v>9.28</v>
      </c>
      <c r="Q5" s="4"/>
      <c r="R5" s="7">
        <v>6.03</v>
      </c>
      <c r="S5" s="7">
        <v>10</v>
      </c>
      <c r="T5" s="7">
        <v>10</v>
      </c>
      <c r="U5" s="8">
        <v>6.43</v>
      </c>
      <c r="V5" s="4"/>
      <c r="W5" s="7">
        <v>9.21</v>
      </c>
      <c r="X5" s="7">
        <v>10</v>
      </c>
      <c r="Y5" s="7">
        <v>10</v>
      </c>
      <c r="Z5" s="8">
        <v>9.29</v>
      </c>
      <c r="AA5" s="4"/>
      <c r="AB5" s="7">
        <v>8.83</v>
      </c>
      <c r="AC5" s="7">
        <v>10</v>
      </c>
      <c r="AD5" s="7">
        <v>10</v>
      </c>
      <c r="AE5" s="8">
        <v>8.95</v>
      </c>
      <c r="AF5" s="4"/>
      <c r="AG5" s="7">
        <v>7.53</v>
      </c>
      <c r="AH5" s="7">
        <v>10</v>
      </c>
      <c r="AI5" s="7">
        <v>10</v>
      </c>
      <c r="AJ5" s="8">
        <v>7.78</v>
      </c>
      <c r="AK5" s="4"/>
      <c r="AL5" s="7">
        <v>8.89</v>
      </c>
      <c r="AM5" s="7">
        <v>10</v>
      </c>
      <c r="AN5" s="7">
        <v>10</v>
      </c>
      <c r="AO5" s="8">
        <v>9</v>
      </c>
      <c r="AP5" s="14">
        <v>8</v>
      </c>
      <c r="AQ5" s="14">
        <v>1</v>
      </c>
      <c r="AR5" s="4">
        <f t="shared" si="0"/>
        <v>7</v>
      </c>
      <c r="AS5" s="4">
        <f>(U5+F5+K5+P5+Z5+AE5+AJ5+AO5)/8</f>
        <v>8.47125</v>
      </c>
    </row>
    <row r="6" spans="1:45">
      <c r="A6" s="5" t="s">
        <v>24</v>
      </c>
      <c r="B6" s="6" t="s">
        <v>25</v>
      </c>
      <c r="C6" s="7">
        <v>9.44</v>
      </c>
      <c r="D6" s="7">
        <v>10</v>
      </c>
      <c r="E6" s="7">
        <v>10</v>
      </c>
      <c r="F6" s="8">
        <v>9.5</v>
      </c>
      <c r="G6" s="4"/>
      <c r="H6" s="7">
        <v>7.87</v>
      </c>
      <c r="I6" s="7">
        <v>10</v>
      </c>
      <c r="J6" s="7">
        <v>10</v>
      </c>
      <c r="K6" s="8">
        <v>8.08</v>
      </c>
      <c r="L6" s="4"/>
      <c r="M6" s="7">
        <v>7.39</v>
      </c>
      <c r="N6" s="7">
        <v>10</v>
      </c>
      <c r="O6" s="7">
        <v>10</v>
      </c>
      <c r="P6" s="8">
        <v>7.52</v>
      </c>
      <c r="Q6" s="4"/>
      <c r="R6" s="7">
        <v>4.37</v>
      </c>
      <c r="S6" s="7">
        <v>10</v>
      </c>
      <c r="T6" s="7">
        <v>10</v>
      </c>
      <c r="U6" s="8">
        <v>4.93</v>
      </c>
      <c r="V6" s="4"/>
      <c r="W6" s="7">
        <v>7.87</v>
      </c>
      <c r="X6" s="7">
        <v>10</v>
      </c>
      <c r="Y6" s="7">
        <v>10</v>
      </c>
      <c r="Z6" s="8">
        <v>8.08</v>
      </c>
      <c r="AA6" s="4"/>
      <c r="AB6" s="7">
        <v>8.34</v>
      </c>
      <c r="AC6" s="7">
        <v>10</v>
      </c>
      <c r="AD6" s="7">
        <v>10</v>
      </c>
      <c r="AE6" s="8">
        <v>8.51</v>
      </c>
      <c r="AF6" s="4"/>
      <c r="AG6" s="7">
        <v>6.42</v>
      </c>
      <c r="AH6" s="7">
        <v>10</v>
      </c>
      <c r="AI6" s="7">
        <v>10</v>
      </c>
      <c r="AJ6" s="8">
        <v>6.78</v>
      </c>
      <c r="AK6" s="4"/>
      <c r="AL6" s="7">
        <v>9.51</v>
      </c>
      <c r="AM6" s="7">
        <v>10</v>
      </c>
      <c r="AN6" s="7">
        <v>10</v>
      </c>
      <c r="AO6" s="8">
        <v>9.56</v>
      </c>
      <c r="AP6" s="14">
        <v>8</v>
      </c>
      <c r="AQ6" s="15">
        <v>2</v>
      </c>
      <c r="AR6" s="4">
        <f t="shared" si="0"/>
        <v>6</v>
      </c>
      <c r="AS6" s="4">
        <f t="shared" si="1"/>
        <v>7.87</v>
      </c>
    </row>
    <row r="7" spans="1:45">
      <c r="A7" s="5" t="s">
        <v>26</v>
      </c>
      <c r="B7" s="6" t="s">
        <v>27</v>
      </c>
      <c r="C7" s="7">
        <v>9.44</v>
      </c>
      <c r="D7" s="7">
        <v>10</v>
      </c>
      <c r="E7" s="7">
        <v>10</v>
      </c>
      <c r="F7" s="8">
        <v>9.5</v>
      </c>
      <c r="G7" s="4"/>
      <c r="H7" s="7">
        <v>8.53</v>
      </c>
      <c r="I7" s="7">
        <v>10</v>
      </c>
      <c r="J7" s="7">
        <v>10</v>
      </c>
      <c r="K7" s="8">
        <v>8.68</v>
      </c>
      <c r="L7" s="4"/>
      <c r="M7" s="7">
        <v>8.01</v>
      </c>
      <c r="N7" s="7">
        <v>10</v>
      </c>
      <c r="O7" s="7">
        <v>10</v>
      </c>
      <c r="P7" s="8">
        <v>8.11</v>
      </c>
      <c r="Q7" s="4"/>
      <c r="R7" s="7">
        <v>9.02</v>
      </c>
      <c r="S7" s="7">
        <v>10</v>
      </c>
      <c r="T7" s="7">
        <v>10</v>
      </c>
      <c r="U7" s="8">
        <v>9.12</v>
      </c>
      <c r="V7" s="4"/>
      <c r="W7" s="7">
        <v>8.81</v>
      </c>
      <c r="X7" s="7">
        <v>10</v>
      </c>
      <c r="Y7" s="7">
        <v>10</v>
      </c>
      <c r="Z7" s="8">
        <v>8.93</v>
      </c>
      <c r="AA7" s="4"/>
      <c r="AB7" s="7">
        <v>9.02</v>
      </c>
      <c r="AC7" s="7">
        <v>10</v>
      </c>
      <c r="AD7" s="7">
        <v>10</v>
      </c>
      <c r="AE7" s="8">
        <v>9.12</v>
      </c>
      <c r="AF7" s="4"/>
      <c r="AG7" s="7">
        <v>7.11</v>
      </c>
      <c r="AH7" s="7">
        <v>10</v>
      </c>
      <c r="AI7" s="7">
        <v>10</v>
      </c>
      <c r="AJ7" s="8">
        <v>7.4</v>
      </c>
      <c r="AK7" s="4"/>
      <c r="AL7" s="7">
        <v>9.81</v>
      </c>
      <c r="AM7" s="7">
        <v>10</v>
      </c>
      <c r="AN7" s="7">
        <v>10</v>
      </c>
      <c r="AO7" s="8">
        <v>9.83</v>
      </c>
      <c r="AP7" s="13">
        <v>8</v>
      </c>
      <c r="AQ7" s="15">
        <v>0</v>
      </c>
      <c r="AR7" s="4">
        <f t="shared" si="0"/>
        <v>8</v>
      </c>
      <c r="AS7" s="4">
        <f t="shared" si="1"/>
        <v>8.83625</v>
      </c>
    </row>
    <row r="8" spans="1:45">
      <c r="A8" s="5" t="s">
        <v>28</v>
      </c>
      <c r="B8" s="6" t="s">
        <v>29</v>
      </c>
      <c r="C8" s="6"/>
      <c r="D8" s="6"/>
      <c r="E8" s="6"/>
      <c r="F8" s="6"/>
      <c r="G8" s="4"/>
      <c r="H8" s="7">
        <v>8.37</v>
      </c>
      <c r="I8" s="7">
        <v>10</v>
      </c>
      <c r="J8" s="7">
        <v>10</v>
      </c>
      <c r="K8" s="8">
        <v>8.53</v>
      </c>
      <c r="L8" s="4"/>
      <c r="M8" s="7">
        <v>9.59</v>
      </c>
      <c r="N8" s="7">
        <v>10</v>
      </c>
      <c r="O8" s="7">
        <v>10</v>
      </c>
      <c r="P8" s="8">
        <v>9.61</v>
      </c>
      <c r="Q8" s="4"/>
      <c r="R8" s="6"/>
      <c r="S8" s="6"/>
      <c r="T8" s="6"/>
      <c r="U8" s="6"/>
      <c r="V8" s="4"/>
      <c r="W8" s="7">
        <v>8.84</v>
      </c>
      <c r="X8" s="7">
        <v>10</v>
      </c>
      <c r="Y8" s="7">
        <v>10</v>
      </c>
      <c r="Z8" s="8">
        <v>8.96</v>
      </c>
      <c r="AA8" s="4"/>
      <c r="AB8" s="7">
        <v>8.52</v>
      </c>
      <c r="AC8" s="7">
        <v>10</v>
      </c>
      <c r="AD8" s="7">
        <v>10</v>
      </c>
      <c r="AE8" s="8">
        <v>8.67</v>
      </c>
      <c r="AF8" s="4"/>
      <c r="AG8" s="7">
        <v>7.82</v>
      </c>
      <c r="AH8" s="7">
        <v>10</v>
      </c>
      <c r="AI8" s="7">
        <v>10</v>
      </c>
      <c r="AJ8" s="8">
        <v>8.04</v>
      </c>
      <c r="AK8" s="4"/>
      <c r="AL8" s="7">
        <v>9.32</v>
      </c>
      <c r="AM8" s="7">
        <v>0</v>
      </c>
      <c r="AN8" s="7">
        <v>10</v>
      </c>
      <c r="AO8" s="8">
        <v>8.89</v>
      </c>
      <c r="AP8" s="13">
        <v>6</v>
      </c>
      <c r="AQ8" s="15">
        <v>0</v>
      </c>
      <c r="AR8" s="4">
        <f t="shared" si="0"/>
        <v>6</v>
      </c>
      <c r="AS8" s="4">
        <f t="shared" si="1"/>
        <v>8.78333333333333</v>
      </c>
    </row>
    <row r="9" spans="1:45">
      <c r="A9" s="5" t="s">
        <v>30</v>
      </c>
      <c r="B9" s="6" t="s">
        <v>31</v>
      </c>
      <c r="C9" s="7">
        <v>9.44</v>
      </c>
      <c r="D9" s="7">
        <v>10</v>
      </c>
      <c r="E9" s="7">
        <v>10</v>
      </c>
      <c r="F9" s="8">
        <v>9.5</v>
      </c>
      <c r="G9" s="4"/>
      <c r="H9" s="7">
        <v>8.07</v>
      </c>
      <c r="I9" s="7">
        <v>9.52</v>
      </c>
      <c r="J9" s="7">
        <v>10</v>
      </c>
      <c r="K9" s="8">
        <v>8.24</v>
      </c>
      <c r="L9" s="4"/>
      <c r="M9" s="7">
        <v>8.14</v>
      </c>
      <c r="N9" s="7">
        <v>10</v>
      </c>
      <c r="O9" s="7">
        <v>10</v>
      </c>
      <c r="P9" s="8">
        <v>8.23</v>
      </c>
      <c r="Q9" s="4"/>
      <c r="R9" s="6"/>
      <c r="S9" s="6"/>
      <c r="T9" s="6"/>
      <c r="U9" s="6"/>
      <c r="V9" s="4"/>
      <c r="W9" s="7">
        <v>8.71</v>
      </c>
      <c r="X9" s="7">
        <v>10</v>
      </c>
      <c r="Y9" s="7">
        <v>10</v>
      </c>
      <c r="Z9" s="8">
        <v>8.84</v>
      </c>
      <c r="AA9" s="4"/>
      <c r="AB9" s="7">
        <v>8.28</v>
      </c>
      <c r="AC9" s="7">
        <v>10</v>
      </c>
      <c r="AD9" s="7">
        <v>10</v>
      </c>
      <c r="AE9" s="8">
        <v>8.45</v>
      </c>
      <c r="AF9" s="4"/>
      <c r="AG9" s="7">
        <v>6.78</v>
      </c>
      <c r="AH9" s="7">
        <v>10</v>
      </c>
      <c r="AI9" s="7">
        <v>10</v>
      </c>
      <c r="AJ9" s="8">
        <v>7.1</v>
      </c>
      <c r="AK9" s="4"/>
      <c r="AL9" s="7">
        <v>9.69</v>
      </c>
      <c r="AM9" s="7">
        <v>10</v>
      </c>
      <c r="AN9" s="7">
        <v>10</v>
      </c>
      <c r="AO9" s="8">
        <v>9.72</v>
      </c>
      <c r="AP9" s="13">
        <v>7</v>
      </c>
      <c r="AQ9" s="15">
        <v>0</v>
      </c>
      <c r="AR9" s="4">
        <f t="shared" si="0"/>
        <v>7</v>
      </c>
      <c r="AS9" s="4">
        <f t="shared" si="1"/>
        <v>8.58285714285714</v>
      </c>
    </row>
    <row r="10" spans="1:45">
      <c r="A10" s="5" t="s">
        <v>32</v>
      </c>
      <c r="B10" s="6" t="s">
        <v>33</v>
      </c>
      <c r="C10" s="7">
        <v>9.44</v>
      </c>
      <c r="D10" s="7">
        <v>10</v>
      </c>
      <c r="E10" s="7">
        <v>10</v>
      </c>
      <c r="F10" s="8">
        <v>9.5</v>
      </c>
      <c r="G10" s="4"/>
      <c r="H10" s="7">
        <v>8.89</v>
      </c>
      <c r="I10" s="7">
        <v>10</v>
      </c>
      <c r="J10" s="7">
        <v>10</v>
      </c>
      <c r="K10" s="8">
        <v>9</v>
      </c>
      <c r="L10" s="4"/>
      <c r="M10" s="7">
        <v>8.95</v>
      </c>
      <c r="N10" s="7">
        <v>10</v>
      </c>
      <c r="O10" s="7">
        <v>10</v>
      </c>
      <c r="P10" s="8">
        <v>9</v>
      </c>
      <c r="Q10" s="4"/>
      <c r="R10" s="7">
        <v>10</v>
      </c>
      <c r="S10" s="7">
        <v>10</v>
      </c>
      <c r="T10" s="7">
        <v>10</v>
      </c>
      <c r="U10" s="8">
        <v>10</v>
      </c>
      <c r="V10" s="4"/>
      <c r="W10" s="7">
        <v>10</v>
      </c>
      <c r="X10" s="7">
        <v>10</v>
      </c>
      <c r="Y10" s="7">
        <v>10</v>
      </c>
      <c r="Z10" s="8">
        <v>10</v>
      </c>
      <c r="AA10" s="4"/>
      <c r="AB10" s="7">
        <v>8.84</v>
      </c>
      <c r="AC10" s="7">
        <v>10</v>
      </c>
      <c r="AD10" s="7">
        <v>10</v>
      </c>
      <c r="AE10" s="8">
        <v>8.96</v>
      </c>
      <c r="AF10" s="4"/>
      <c r="AG10" s="7">
        <v>8.84</v>
      </c>
      <c r="AH10" s="7">
        <v>10</v>
      </c>
      <c r="AI10" s="7">
        <v>10</v>
      </c>
      <c r="AJ10" s="8">
        <v>8.96</v>
      </c>
      <c r="AK10" s="4"/>
      <c r="AL10" s="7">
        <v>9.82</v>
      </c>
      <c r="AM10" s="7">
        <v>10</v>
      </c>
      <c r="AN10" s="7">
        <v>10</v>
      </c>
      <c r="AO10" s="8">
        <v>9.84</v>
      </c>
      <c r="AP10" s="13">
        <v>8</v>
      </c>
      <c r="AQ10" s="15">
        <v>0</v>
      </c>
      <c r="AR10" s="4">
        <f t="shared" si="0"/>
        <v>8</v>
      </c>
      <c r="AS10" s="4">
        <f t="shared" si="1"/>
        <v>9.4075</v>
      </c>
    </row>
    <row r="11" spans="1:45">
      <c r="A11" s="5" t="s">
        <v>34</v>
      </c>
      <c r="B11" s="6" t="s">
        <v>35</v>
      </c>
      <c r="C11" s="6"/>
      <c r="D11" s="6"/>
      <c r="E11" s="6"/>
      <c r="F11" s="6"/>
      <c r="G11" s="4"/>
      <c r="H11" s="7">
        <v>7.61</v>
      </c>
      <c r="I11" s="7">
        <v>10</v>
      </c>
      <c r="J11" s="7">
        <v>10</v>
      </c>
      <c r="K11" s="8">
        <v>7.85</v>
      </c>
      <c r="L11" s="4"/>
      <c r="M11" s="7">
        <v>6.24</v>
      </c>
      <c r="N11" s="7">
        <v>10</v>
      </c>
      <c r="O11" s="7">
        <v>10</v>
      </c>
      <c r="P11" s="8">
        <v>6.43</v>
      </c>
      <c r="Q11" s="4"/>
      <c r="R11" s="7">
        <v>5.88</v>
      </c>
      <c r="S11" s="7">
        <v>10</v>
      </c>
      <c r="T11" s="7">
        <v>10</v>
      </c>
      <c r="U11" s="8">
        <v>6.29</v>
      </c>
      <c r="V11" s="4"/>
      <c r="W11" s="7">
        <v>8.58</v>
      </c>
      <c r="X11" s="7">
        <v>10</v>
      </c>
      <c r="Y11" s="7">
        <v>10</v>
      </c>
      <c r="Z11" s="8">
        <v>8.72</v>
      </c>
      <c r="AA11" s="4"/>
      <c r="AB11" s="7">
        <v>8.44</v>
      </c>
      <c r="AC11" s="7">
        <v>10</v>
      </c>
      <c r="AD11" s="7">
        <v>10</v>
      </c>
      <c r="AE11" s="8">
        <v>8.6</v>
      </c>
      <c r="AF11" s="4"/>
      <c r="AG11" s="7">
        <v>8.51</v>
      </c>
      <c r="AH11" s="7">
        <v>10</v>
      </c>
      <c r="AI11" s="7">
        <v>10</v>
      </c>
      <c r="AJ11" s="8">
        <v>8.66</v>
      </c>
      <c r="AK11" s="4"/>
      <c r="AL11" s="7">
        <v>9.12</v>
      </c>
      <c r="AM11" s="7">
        <v>10</v>
      </c>
      <c r="AN11" s="7">
        <v>10</v>
      </c>
      <c r="AO11" s="8">
        <v>9.21</v>
      </c>
      <c r="AP11" s="13">
        <v>7</v>
      </c>
      <c r="AQ11" s="15">
        <v>2</v>
      </c>
      <c r="AR11" s="4">
        <f t="shared" si="0"/>
        <v>5</v>
      </c>
      <c r="AS11" s="4">
        <f t="shared" si="1"/>
        <v>7.96571428571429</v>
      </c>
    </row>
    <row r="12" spans="1:45">
      <c r="A12" s="5" t="s">
        <v>36</v>
      </c>
      <c r="B12" s="6" t="s">
        <v>37</v>
      </c>
      <c r="C12" s="7">
        <v>9.44</v>
      </c>
      <c r="D12" s="7">
        <v>10</v>
      </c>
      <c r="E12" s="7">
        <v>10</v>
      </c>
      <c r="F12" s="8">
        <v>9.5</v>
      </c>
      <c r="G12" s="4"/>
      <c r="H12" s="6"/>
      <c r="I12" s="6"/>
      <c r="J12" s="6"/>
      <c r="K12" s="6"/>
      <c r="L12" s="4"/>
      <c r="M12" s="7">
        <v>6.89</v>
      </c>
      <c r="N12" s="7">
        <v>10</v>
      </c>
      <c r="O12" s="7">
        <v>10</v>
      </c>
      <c r="P12" s="8">
        <v>7.05</v>
      </c>
      <c r="Q12" s="4"/>
      <c r="R12" s="7">
        <v>9.48</v>
      </c>
      <c r="S12" s="7">
        <v>10</v>
      </c>
      <c r="T12" s="7">
        <v>10</v>
      </c>
      <c r="U12" s="8">
        <v>9.53</v>
      </c>
      <c r="V12" s="4"/>
      <c r="W12" s="7">
        <v>8.58</v>
      </c>
      <c r="X12" s="7">
        <v>10</v>
      </c>
      <c r="Y12" s="7">
        <v>10</v>
      </c>
      <c r="Z12" s="8">
        <v>8.72</v>
      </c>
      <c r="AA12" s="4"/>
      <c r="AB12" s="7">
        <v>8.98</v>
      </c>
      <c r="AC12" s="7">
        <v>10</v>
      </c>
      <c r="AD12" s="7">
        <v>10</v>
      </c>
      <c r="AE12" s="8">
        <v>9.08</v>
      </c>
      <c r="AF12" s="4"/>
      <c r="AG12" s="7">
        <v>8.69</v>
      </c>
      <c r="AH12" s="7">
        <v>10</v>
      </c>
      <c r="AI12" s="7">
        <v>10</v>
      </c>
      <c r="AJ12" s="8">
        <v>8.82</v>
      </c>
      <c r="AK12" s="4"/>
      <c r="AL12" s="7">
        <v>9.69</v>
      </c>
      <c r="AM12" s="7">
        <v>10</v>
      </c>
      <c r="AN12" s="7">
        <v>10</v>
      </c>
      <c r="AO12" s="8">
        <v>9.72</v>
      </c>
      <c r="AP12" s="13">
        <v>7</v>
      </c>
      <c r="AQ12" s="15">
        <v>0</v>
      </c>
      <c r="AR12" s="4">
        <f t="shared" si="0"/>
        <v>7</v>
      </c>
      <c r="AS12" s="4">
        <f t="shared" si="1"/>
        <v>8.91714285714286</v>
      </c>
    </row>
    <row r="13" spans="1:45">
      <c r="A13" s="5" t="s">
        <v>38</v>
      </c>
      <c r="B13" s="6" t="s">
        <v>39</v>
      </c>
      <c r="C13" s="7">
        <v>9.44</v>
      </c>
      <c r="D13" s="7">
        <v>10</v>
      </c>
      <c r="E13" s="7">
        <v>10</v>
      </c>
      <c r="F13" s="8">
        <v>9.5</v>
      </c>
      <c r="G13" s="4"/>
      <c r="H13" s="7">
        <v>7.73</v>
      </c>
      <c r="I13" s="7">
        <v>10</v>
      </c>
      <c r="J13" s="7">
        <v>10</v>
      </c>
      <c r="K13" s="8">
        <v>7.96</v>
      </c>
      <c r="L13" s="4"/>
      <c r="M13" s="7">
        <v>5.87</v>
      </c>
      <c r="N13" s="7">
        <v>10</v>
      </c>
      <c r="O13" s="7">
        <v>10</v>
      </c>
      <c r="P13" s="8">
        <v>6.08</v>
      </c>
      <c r="Q13" s="4"/>
      <c r="R13" s="7">
        <v>7.2</v>
      </c>
      <c r="S13" s="7">
        <v>10</v>
      </c>
      <c r="T13" s="7">
        <v>10</v>
      </c>
      <c r="U13" s="8">
        <v>7.48</v>
      </c>
      <c r="V13" s="4"/>
      <c r="W13" s="7">
        <v>9.47</v>
      </c>
      <c r="X13" s="7">
        <v>10</v>
      </c>
      <c r="Y13" s="7">
        <v>10</v>
      </c>
      <c r="Z13" s="8">
        <v>9.52</v>
      </c>
      <c r="AA13" s="4"/>
      <c r="AB13" s="7">
        <v>7.74</v>
      </c>
      <c r="AC13" s="7">
        <v>10</v>
      </c>
      <c r="AD13" s="7">
        <v>10</v>
      </c>
      <c r="AE13" s="8">
        <v>7.97</v>
      </c>
      <c r="AF13" s="4"/>
      <c r="AG13" s="7">
        <v>7.29</v>
      </c>
      <c r="AH13" s="7">
        <v>10</v>
      </c>
      <c r="AI13" s="7">
        <v>10</v>
      </c>
      <c r="AJ13" s="8">
        <v>7.56</v>
      </c>
      <c r="AK13" s="4"/>
      <c r="AL13" s="7">
        <v>9.31</v>
      </c>
      <c r="AM13" s="7">
        <v>10</v>
      </c>
      <c r="AN13" s="7">
        <v>10</v>
      </c>
      <c r="AO13" s="8">
        <v>9.38</v>
      </c>
      <c r="AP13" s="13">
        <v>8</v>
      </c>
      <c r="AQ13" s="15">
        <v>1</v>
      </c>
      <c r="AR13" s="4">
        <f t="shared" si="0"/>
        <v>7</v>
      </c>
      <c r="AS13" s="4">
        <f t="shared" si="1"/>
        <v>8.18125</v>
      </c>
    </row>
    <row r="14" spans="1:45">
      <c r="A14" s="5" t="s">
        <v>40</v>
      </c>
      <c r="B14" s="6" t="s">
        <v>41</v>
      </c>
      <c r="C14" s="7">
        <v>9.44</v>
      </c>
      <c r="D14" s="7">
        <v>0</v>
      </c>
      <c r="E14" s="7">
        <v>10</v>
      </c>
      <c r="F14" s="8">
        <v>9</v>
      </c>
      <c r="G14" s="4"/>
      <c r="H14" s="7">
        <v>7.21</v>
      </c>
      <c r="I14" s="7">
        <v>0</v>
      </c>
      <c r="J14" s="7">
        <v>10</v>
      </c>
      <c r="K14" s="8">
        <v>6.99</v>
      </c>
      <c r="L14" s="4"/>
      <c r="M14" s="7">
        <v>7.63</v>
      </c>
      <c r="N14" s="7">
        <v>10</v>
      </c>
      <c r="O14" s="7">
        <v>10</v>
      </c>
      <c r="P14" s="8">
        <v>7.75</v>
      </c>
      <c r="Q14" s="4"/>
      <c r="R14" s="7">
        <v>5.25</v>
      </c>
      <c r="S14" s="7">
        <v>10</v>
      </c>
      <c r="T14" s="7">
        <v>10</v>
      </c>
      <c r="U14" s="8">
        <v>5.73</v>
      </c>
      <c r="V14" s="4"/>
      <c r="W14" s="7">
        <v>7.73</v>
      </c>
      <c r="X14" s="7">
        <v>10</v>
      </c>
      <c r="Y14" s="7">
        <v>10</v>
      </c>
      <c r="Z14" s="8">
        <v>7.96</v>
      </c>
      <c r="AA14" s="4"/>
      <c r="AB14" s="7">
        <v>7</v>
      </c>
      <c r="AC14" s="7">
        <v>10</v>
      </c>
      <c r="AD14" s="7">
        <v>10</v>
      </c>
      <c r="AE14" s="8">
        <v>7.3</v>
      </c>
      <c r="AF14" s="4"/>
      <c r="AG14" s="7">
        <v>7.62</v>
      </c>
      <c r="AH14" s="7">
        <v>10</v>
      </c>
      <c r="AI14" s="7">
        <v>10</v>
      </c>
      <c r="AJ14" s="8">
        <v>7.86</v>
      </c>
      <c r="AK14" s="4"/>
      <c r="AL14" s="7">
        <v>8.43</v>
      </c>
      <c r="AM14" s="7">
        <v>10</v>
      </c>
      <c r="AN14" s="7">
        <v>10</v>
      </c>
      <c r="AO14" s="8">
        <v>8.59</v>
      </c>
      <c r="AP14" s="13">
        <v>8</v>
      </c>
      <c r="AQ14" s="15">
        <v>2</v>
      </c>
      <c r="AR14" s="4">
        <f t="shared" si="0"/>
        <v>6</v>
      </c>
      <c r="AS14" s="4">
        <f t="shared" si="1"/>
        <v>7.6475</v>
      </c>
    </row>
    <row r="15" spans="1:45">
      <c r="A15" s="5" t="s">
        <v>42</v>
      </c>
      <c r="B15" s="6" t="s">
        <v>43</v>
      </c>
      <c r="C15" s="7">
        <v>9.44</v>
      </c>
      <c r="D15" s="7">
        <v>0</v>
      </c>
      <c r="E15" s="7">
        <v>10</v>
      </c>
      <c r="F15" s="8">
        <v>9</v>
      </c>
      <c r="G15" s="4"/>
      <c r="H15" s="7">
        <v>8.5</v>
      </c>
      <c r="I15" s="7">
        <v>10</v>
      </c>
      <c r="J15" s="7">
        <v>10</v>
      </c>
      <c r="K15" s="8">
        <v>8.65</v>
      </c>
      <c r="L15" s="4"/>
      <c r="M15" s="7">
        <v>7.45</v>
      </c>
      <c r="N15" s="7">
        <v>10</v>
      </c>
      <c r="O15" s="7">
        <v>10</v>
      </c>
      <c r="P15" s="8">
        <v>7.58</v>
      </c>
      <c r="Q15" s="4"/>
      <c r="R15" s="7">
        <v>6.92</v>
      </c>
      <c r="S15" s="7">
        <v>10</v>
      </c>
      <c r="T15" s="7">
        <v>10</v>
      </c>
      <c r="U15" s="8">
        <v>7.23</v>
      </c>
      <c r="V15" s="4"/>
      <c r="W15" s="7">
        <v>9.33</v>
      </c>
      <c r="X15" s="7">
        <v>10</v>
      </c>
      <c r="Y15" s="7">
        <v>10</v>
      </c>
      <c r="Z15" s="8">
        <v>9.4</v>
      </c>
      <c r="AA15" s="4"/>
      <c r="AB15" s="7">
        <v>8.84</v>
      </c>
      <c r="AC15" s="7">
        <v>10</v>
      </c>
      <c r="AD15" s="7">
        <v>10</v>
      </c>
      <c r="AE15" s="8">
        <v>8.96</v>
      </c>
      <c r="AF15" s="4"/>
      <c r="AG15" s="7">
        <v>7.51</v>
      </c>
      <c r="AH15" s="7">
        <v>10</v>
      </c>
      <c r="AI15" s="7">
        <v>10</v>
      </c>
      <c r="AJ15" s="8">
        <v>7.76</v>
      </c>
      <c r="AK15" s="4"/>
      <c r="AL15" s="7">
        <v>10</v>
      </c>
      <c r="AM15" s="7">
        <v>10</v>
      </c>
      <c r="AN15" s="7">
        <v>10</v>
      </c>
      <c r="AO15" s="8">
        <v>10</v>
      </c>
      <c r="AP15" s="13">
        <v>8</v>
      </c>
      <c r="AQ15" s="15">
        <v>0</v>
      </c>
      <c r="AR15" s="4">
        <f t="shared" si="0"/>
        <v>8</v>
      </c>
      <c r="AS15" s="4">
        <f t="shared" si="1"/>
        <v>8.5725</v>
      </c>
    </row>
    <row r="16" spans="1:45">
      <c r="A16" s="5" t="s">
        <v>44</v>
      </c>
      <c r="B16" s="6" t="s">
        <v>45</v>
      </c>
      <c r="C16" s="7">
        <v>9.17</v>
      </c>
      <c r="D16" s="7">
        <v>10</v>
      </c>
      <c r="E16" s="7">
        <v>10</v>
      </c>
      <c r="F16" s="8">
        <v>9.25</v>
      </c>
      <c r="G16" s="4"/>
      <c r="H16" s="7">
        <v>7.9</v>
      </c>
      <c r="I16" s="7">
        <v>10</v>
      </c>
      <c r="J16" s="7">
        <v>10</v>
      </c>
      <c r="K16" s="8">
        <v>8.11</v>
      </c>
      <c r="L16" s="4"/>
      <c r="M16" s="6"/>
      <c r="N16" s="6"/>
      <c r="O16" s="6"/>
      <c r="P16" s="6"/>
      <c r="Q16" s="4"/>
      <c r="R16" s="6"/>
      <c r="S16" s="6"/>
      <c r="T16" s="6"/>
      <c r="U16" s="6"/>
      <c r="V16" s="4"/>
      <c r="W16" s="7">
        <v>7.17</v>
      </c>
      <c r="X16" s="7">
        <v>10</v>
      </c>
      <c r="Y16" s="7">
        <v>10</v>
      </c>
      <c r="Z16" s="8">
        <v>7.45</v>
      </c>
      <c r="AA16" s="4"/>
      <c r="AB16" s="7">
        <v>6.52</v>
      </c>
      <c r="AC16" s="7">
        <v>10</v>
      </c>
      <c r="AD16" s="7">
        <v>10</v>
      </c>
      <c r="AE16" s="8">
        <v>6.87</v>
      </c>
      <c r="AF16" s="4"/>
      <c r="AG16" s="7">
        <v>6.56</v>
      </c>
      <c r="AH16" s="7">
        <v>10</v>
      </c>
      <c r="AI16" s="7">
        <v>10</v>
      </c>
      <c r="AJ16" s="8">
        <v>6.9</v>
      </c>
      <c r="AK16" s="4"/>
      <c r="AL16" s="7">
        <v>7.25</v>
      </c>
      <c r="AM16" s="7">
        <v>0</v>
      </c>
      <c r="AN16" s="7">
        <v>10</v>
      </c>
      <c r="AO16" s="8">
        <v>7.03</v>
      </c>
      <c r="AP16" s="13">
        <v>6</v>
      </c>
      <c r="AQ16" s="15">
        <v>2</v>
      </c>
      <c r="AR16" s="4">
        <f t="shared" si="0"/>
        <v>4</v>
      </c>
      <c r="AS16" s="4">
        <f t="shared" si="1"/>
        <v>7.60166666666667</v>
      </c>
    </row>
    <row r="17" spans="1:45">
      <c r="A17" s="5" t="s">
        <v>46</v>
      </c>
      <c r="B17" s="6" t="s">
        <v>47</v>
      </c>
      <c r="C17" s="7">
        <v>10</v>
      </c>
      <c r="D17" s="7">
        <v>10</v>
      </c>
      <c r="E17" s="7">
        <v>10</v>
      </c>
      <c r="F17" s="8">
        <v>10</v>
      </c>
      <c r="G17" s="4"/>
      <c r="H17" s="7">
        <v>7</v>
      </c>
      <c r="I17" s="7">
        <v>10</v>
      </c>
      <c r="J17" s="7">
        <v>10</v>
      </c>
      <c r="K17" s="8">
        <v>7.3</v>
      </c>
      <c r="L17" s="4"/>
      <c r="M17" s="7">
        <v>7.01</v>
      </c>
      <c r="N17" s="7">
        <v>10</v>
      </c>
      <c r="O17" s="7">
        <v>10</v>
      </c>
      <c r="P17" s="8">
        <v>7.16</v>
      </c>
      <c r="Q17" s="4"/>
      <c r="R17" s="7">
        <v>6.72</v>
      </c>
      <c r="S17" s="7">
        <v>10</v>
      </c>
      <c r="T17" s="7">
        <v>10</v>
      </c>
      <c r="U17" s="8">
        <v>7.05</v>
      </c>
      <c r="V17" s="4"/>
      <c r="W17" s="7">
        <v>9.2</v>
      </c>
      <c r="X17" s="7">
        <v>10</v>
      </c>
      <c r="Y17" s="7">
        <v>10</v>
      </c>
      <c r="Z17" s="8">
        <v>9.28</v>
      </c>
      <c r="AA17" s="4"/>
      <c r="AB17" s="7">
        <v>8.36</v>
      </c>
      <c r="AC17" s="7">
        <v>10</v>
      </c>
      <c r="AD17" s="7">
        <v>10</v>
      </c>
      <c r="AE17" s="8">
        <v>8.52</v>
      </c>
      <c r="AF17" s="4"/>
      <c r="AG17" s="7">
        <v>7.42</v>
      </c>
      <c r="AH17" s="7">
        <v>10</v>
      </c>
      <c r="AI17" s="7">
        <v>10</v>
      </c>
      <c r="AJ17" s="8">
        <v>7.68</v>
      </c>
      <c r="AK17" s="4"/>
      <c r="AL17" s="7">
        <v>9.32</v>
      </c>
      <c r="AM17" s="7">
        <v>10</v>
      </c>
      <c r="AN17" s="7">
        <v>10</v>
      </c>
      <c r="AO17" s="8">
        <v>9.39</v>
      </c>
      <c r="AP17" s="13">
        <v>8</v>
      </c>
      <c r="AQ17" s="15">
        <v>0</v>
      </c>
      <c r="AR17" s="4">
        <f t="shared" si="0"/>
        <v>8</v>
      </c>
      <c r="AS17" s="4">
        <f t="shared" si="1"/>
        <v>8.2975</v>
      </c>
    </row>
    <row r="18" spans="1:45">
      <c r="A18" s="5" t="s">
        <v>48</v>
      </c>
      <c r="B18" s="6" t="s">
        <v>49</v>
      </c>
      <c r="C18" s="7">
        <v>10</v>
      </c>
      <c r="D18" s="7">
        <v>10</v>
      </c>
      <c r="E18" s="7">
        <v>10</v>
      </c>
      <c r="F18" s="8">
        <v>10</v>
      </c>
      <c r="G18" s="4"/>
      <c r="H18" s="7">
        <v>8.72</v>
      </c>
      <c r="I18" s="7">
        <v>10</v>
      </c>
      <c r="J18" s="7">
        <v>10</v>
      </c>
      <c r="K18" s="8">
        <v>8.85</v>
      </c>
      <c r="L18" s="4"/>
      <c r="M18" s="7">
        <v>8.23</v>
      </c>
      <c r="N18" s="7">
        <v>10</v>
      </c>
      <c r="O18" s="7">
        <v>10</v>
      </c>
      <c r="P18" s="8">
        <v>8.32</v>
      </c>
      <c r="Q18" s="4"/>
      <c r="R18" s="7">
        <v>8.8</v>
      </c>
      <c r="S18" s="7">
        <v>10</v>
      </c>
      <c r="T18" s="7">
        <v>0</v>
      </c>
      <c r="U18" s="8">
        <v>8.42</v>
      </c>
      <c r="V18" s="4"/>
      <c r="W18" s="7">
        <v>9.6</v>
      </c>
      <c r="X18" s="7">
        <v>10</v>
      </c>
      <c r="Y18" s="7">
        <v>10</v>
      </c>
      <c r="Z18" s="8">
        <v>9.64</v>
      </c>
      <c r="AA18" s="4"/>
      <c r="AB18" s="7">
        <v>8.37</v>
      </c>
      <c r="AC18" s="7">
        <v>10</v>
      </c>
      <c r="AD18" s="7">
        <v>10</v>
      </c>
      <c r="AE18" s="8">
        <v>8.53</v>
      </c>
      <c r="AF18" s="4"/>
      <c r="AG18" s="7">
        <v>7.6</v>
      </c>
      <c r="AH18" s="7">
        <v>10</v>
      </c>
      <c r="AI18" s="7">
        <v>10</v>
      </c>
      <c r="AJ18" s="8">
        <v>7.84</v>
      </c>
      <c r="AK18" s="4"/>
      <c r="AL18" s="7">
        <v>9.69</v>
      </c>
      <c r="AM18" s="7">
        <v>10</v>
      </c>
      <c r="AN18" s="7">
        <v>10</v>
      </c>
      <c r="AO18" s="8">
        <v>9.72</v>
      </c>
      <c r="AP18" s="13">
        <v>8</v>
      </c>
      <c r="AQ18" s="15">
        <v>0</v>
      </c>
      <c r="AR18" s="4">
        <f t="shared" si="0"/>
        <v>8</v>
      </c>
      <c r="AS18" s="4">
        <f t="shared" si="1"/>
        <v>8.915</v>
      </c>
    </row>
    <row r="19" spans="1:45">
      <c r="A19" s="6">
        <v>518392</v>
      </c>
      <c r="B19" s="6" t="s">
        <v>50</v>
      </c>
      <c r="C19" s="7">
        <v>9.72</v>
      </c>
      <c r="D19" s="7">
        <v>10</v>
      </c>
      <c r="E19" s="7">
        <v>10</v>
      </c>
      <c r="F19" s="8">
        <v>9.75</v>
      </c>
      <c r="G19" s="4"/>
      <c r="H19" s="7">
        <v>8.23</v>
      </c>
      <c r="I19" s="7">
        <v>10</v>
      </c>
      <c r="J19" s="7">
        <v>10</v>
      </c>
      <c r="K19" s="8">
        <v>8.41</v>
      </c>
      <c r="L19" s="4"/>
      <c r="M19" s="6"/>
      <c r="N19" s="6"/>
      <c r="O19" s="6"/>
      <c r="P19" s="6"/>
      <c r="Q19" s="4"/>
      <c r="R19" s="7">
        <v>6.73</v>
      </c>
      <c r="S19" s="7">
        <v>10</v>
      </c>
      <c r="T19" s="7">
        <v>10</v>
      </c>
      <c r="U19" s="8">
        <v>7.06</v>
      </c>
      <c r="V19" s="4"/>
      <c r="W19" s="7">
        <v>8.71</v>
      </c>
      <c r="X19" s="7">
        <v>10</v>
      </c>
      <c r="Y19" s="7">
        <v>10</v>
      </c>
      <c r="Z19" s="8">
        <v>8.84</v>
      </c>
      <c r="AA19" s="4"/>
      <c r="AB19" s="6"/>
      <c r="AC19" s="6"/>
      <c r="AD19" s="6"/>
      <c r="AE19" s="6"/>
      <c r="AF19" s="4"/>
      <c r="AG19" s="7">
        <v>8</v>
      </c>
      <c r="AH19" s="7">
        <v>10</v>
      </c>
      <c r="AI19" s="7">
        <v>10</v>
      </c>
      <c r="AJ19" s="8">
        <v>8.2</v>
      </c>
      <c r="AK19" s="4"/>
      <c r="AL19" s="7">
        <v>9.51</v>
      </c>
      <c r="AM19" s="7">
        <v>10</v>
      </c>
      <c r="AN19" s="7">
        <v>10</v>
      </c>
      <c r="AO19" s="8">
        <v>9.56</v>
      </c>
      <c r="AP19" s="13">
        <v>6</v>
      </c>
      <c r="AQ19" s="15">
        <v>0</v>
      </c>
      <c r="AR19" s="4">
        <f t="shared" si="0"/>
        <v>6</v>
      </c>
      <c r="AS19" s="4">
        <f t="shared" si="1"/>
        <v>8.63666666666667</v>
      </c>
    </row>
    <row r="20" spans="1:45">
      <c r="A20" s="5" t="s">
        <v>51</v>
      </c>
      <c r="B20" s="6" t="s">
        <v>52</v>
      </c>
      <c r="C20" s="7">
        <v>8.72</v>
      </c>
      <c r="D20" s="7">
        <v>10</v>
      </c>
      <c r="E20" s="7">
        <v>10</v>
      </c>
      <c r="F20" s="8">
        <v>8.85</v>
      </c>
      <c r="G20" s="4"/>
      <c r="H20" s="7">
        <v>6.8</v>
      </c>
      <c r="I20" s="7">
        <v>10</v>
      </c>
      <c r="J20" s="7">
        <v>10</v>
      </c>
      <c r="K20" s="8">
        <v>7.12</v>
      </c>
      <c r="L20" s="4"/>
      <c r="M20" s="7">
        <v>5.92</v>
      </c>
      <c r="N20" s="7">
        <v>10</v>
      </c>
      <c r="O20" s="7">
        <v>10</v>
      </c>
      <c r="P20" s="8">
        <v>6.12</v>
      </c>
      <c r="Q20" s="4"/>
      <c r="R20" s="6"/>
      <c r="S20" s="6"/>
      <c r="T20" s="6"/>
      <c r="U20" s="6"/>
      <c r="V20" s="4"/>
      <c r="W20" s="6"/>
      <c r="X20" s="6"/>
      <c r="Y20" s="6"/>
      <c r="Z20" s="6"/>
      <c r="AA20" s="4"/>
      <c r="AB20" s="7">
        <v>6.97</v>
      </c>
      <c r="AC20" s="7">
        <v>10</v>
      </c>
      <c r="AD20" s="7">
        <v>10</v>
      </c>
      <c r="AE20" s="8">
        <v>7.27</v>
      </c>
      <c r="AF20" s="4"/>
      <c r="AG20" s="6"/>
      <c r="AH20" s="6"/>
      <c r="AI20" s="6"/>
      <c r="AJ20" s="6"/>
      <c r="AK20" s="4"/>
      <c r="AL20" s="7">
        <v>6.94</v>
      </c>
      <c r="AM20" s="7">
        <v>10</v>
      </c>
      <c r="AN20" s="7">
        <v>10</v>
      </c>
      <c r="AO20" s="8">
        <v>7.25</v>
      </c>
      <c r="AP20" s="13">
        <v>5</v>
      </c>
      <c r="AQ20" s="15">
        <v>1</v>
      </c>
      <c r="AR20" s="4">
        <f t="shared" si="0"/>
        <v>4</v>
      </c>
      <c r="AS20" s="4">
        <f t="shared" si="1"/>
        <v>7.322</v>
      </c>
    </row>
    <row r="21" spans="1:45">
      <c r="A21" s="5" t="s">
        <v>53</v>
      </c>
      <c r="B21" s="6" t="s">
        <v>54</v>
      </c>
      <c r="C21" s="6"/>
      <c r="D21" s="6"/>
      <c r="E21" s="6"/>
      <c r="F21" s="6"/>
      <c r="G21" s="4"/>
      <c r="H21" s="7">
        <v>6.96</v>
      </c>
      <c r="I21" s="7">
        <v>10</v>
      </c>
      <c r="J21" s="7">
        <v>10</v>
      </c>
      <c r="K21" s="8">
        <v>7.26</v>
      </c>
      <c r="L21" s="4"/>
      <c r="M21" s="7">
        <v>7.25</v>
      </c>
      <c r="N21" s="7">
        <v>10</v>
      </c>
      <c r="O21" s="7">
        <v>10</v>
      </c>
      <c r="P21" s="8">
        <v>7.39</v>
      </c>
      <c r="Q21" s="4"/>
      <c r="R21" s="6"/>
      <c r="S21" s="6"/>
      <c r="T21" s="6"/>
      <c r="U21" s="6"/>
      <c r="V21" s="4"/>
      <c r="W21" s="7">
        <v>8.16</v>
      </c>
      <c r="X21" s="7">
        <v>10</v>
      </c>
      <c r="Y21" s="7">
        <v>10</v>
      </c>
      <c r="Z21" s="8">
        <v>8.34</v>
      </c>
      <c r="AA21" s="4"/>
      <c r="AB21" s="7">
        <v>8.62</v>
      </c>
      <c r="AC21" s="7">
        <v>10</v>
      </c>
      <c r="AD21" s="7">
        <v>10</v>
      </c>
      <c r="AE21" s="8">
        <v>8.76</v>
      </c>
      <c r="AF21" s="4"/>
      <c r="AG21" s="7">
        <v>8.16</v>
      </c>
      <c r="AH21" s="7">
        <v>10</v>
      </c>
      <c r="AI21" s="7">
        <v>10</v>
      </c>
      <c r="AJ21" s="8">
        <v>8.34</v>
      </c>
      <c r="AK21" s="4"/>
      <c r="AL21" s="7">
        <v>9.39</v>
      </c>
      <c r="AM21" s="7">
        <v>10</v>
      </c>
      <c r="AN21" s="7">
        <v>10</v>
      </c>
      <c r="AO21" s="8">
        <v>9.45</v>
      </c>
      <c r="AP21" s="13">
        <v>6</v>
      </c>
      <c r="AQ21" s="15">
        <v>0</v>
      </c>
      <c r="AR21" s="4">
        <f t="shared" si="0"/>
        <v>6</v>
      </c>
      <c r="AS21" s="4">
        <f t="shared" si="1"/>
        <v>8.25666666666667</v>
      </c>
    </row>
    <row r="22" spans="1:45">
      <c r="A22" s="5" t="s">
        <v>55</v>
      </c>
      <c r="B22" s="6" t="s">
        <v>56</v>
      </c>
      <c r="C22" s="7">
        <v>9.44</v>
      </c>
      <c r="D22" s="7">
        <v>10</v>
      </c>
      <c r="E22" s="7">
        <v>10</v>
      </c>
      <c r="F22" s="8">
        <v>9.5</v>
      </c>
      <c r="G22" s="4"/>
      <c r="H22" s="7">
        <v>8.6</v>
      </c>
      <c r="I22" s="7">
        <v>10</v>
      </c>
      <c r="J22" s="7">
        <v>10</v>
      </c>
      <c r="K22" s="8">
        <v>8.74</v>
      </c>
      <c r="L22" s="4"/>
      <c r="M22" s="6"/>
      <c r="N22" s="6"/>
      <c r="O22" s="6"/>
      <c r="P22" s="6">
        <v>6</v>
      </c>
      <c r="Q22" s="4"/>
      <c r="R22" s="7">
        <v>5.85</v>
      </c>
      <c r="S22" s="7">
        <v>0</v>
      </c>
      <c r="T22" s="7">
        <v>0</v>
      </c>
      <c r="U22" s="8">
        <v>5.26</v>
      </c>
      <c r="V22" s="4"/>
      <c r="W22" s="7">
        <v>7.82</v>
      </c>
      <c r="X22" s="7">
        <v>10</v>
      </c>
      <c r="Y22" s="7">
        <v>10</v>
      </c>
      <c r="Z22" s="8">
        <v>8.04</v>
      </c>
      <c r="AA22" s="4"/>
      <c r="AB22" s="7">
        <v>6.85</v>
      </c>
      <c r="AC22" s="7">
        <v>10</v>
      </c>
      <c r="AD22" s="7">
        <v>10</v>
      </c>
      <c r="AE22" s="8">
        <v>7.17</v>
      </c>
      <c r="AF22" s="4"/>
      <c r="AG22" s="7">
        <v>7.36</v>
      </c>
      <c r="AH22" s="7">
        <v>10</v>
      </c>
      <c r="AI22" s="7">
        <v>10</v>
      </c>
      <c r="AJ22" s="8">
        <v>7.62</v>
      </c>
      <c r="AK22" s="4"/>
      <c r="AL22" s="7">
        <v>7.84</v>
      </c>
      <c r="AM22" s="7">
        <v>0</v>
      </c>
      <c r="AN22" s="7">
        <v>0</v>
      </c>
      <c r="AO22" s="8">
        <v>7.06</v>
      </c>
      <c r="AP22" s="13">
        <v>7</v>
      </c>
      <c r="AQ22" s="15">
        <v>1</v>
      </c>
      <c r="AR22" s="4">
        <f t="shared" si="0"/>
        <v>6</v>
      </c>
      <c r="AS22" s="4">
        <f t="shared" si="1"/>
        <v>8.48428571428571</v>
      </c>
    </row>
    <row r="23" spans="1:45">
      <c r="A23" s="5" t="s">
        <v>57</v>
      </c>
      <c r="B23" s="6" t="s">
        <v>58</v>
      </c>
      <c r="C23" s="7">
        <v>10</v>
      </c>
      <c r="D23" s="7">
        <v>10</v>
      </c>
      <c r="E23" s="7">
        <v>10</v>
      </c>
      <c r="F23" s="8">
        <v>10</v>
      </c>
      <c r="G23" s="4"/>
      <c r="H23" s="7">
        <v>8.14</v>
      </c>
      <c r="I23" s="7">
        <v>10</v>
      </c>
      <c r="J23" s="7">
        <v>10</v>
      </c>
      <c r="K23" s="8">
        <v>8.33</v>
      </c>
      <c r="L23" s="4"/>
      <c r="M23" s="7">
        <v>7.87</v>
      </c>
      <c r="N23" s="7">
        <v>10</v>
      </c>
      <c r="O23" s="7">
        <v>10</v>
      </c>
      <c r="P23" s="8">
        <v>7.98</v>
      </c>
      <c r="Q23" s="4"/>
      <c r="R23" s="7">
        <v>7.28</v>
      </c>
      <c r="S23" s="7">
        <v>10</v>
      </c>
      <c r="T23" s="7">
        <v>10</v>
      </c>
      <c r="U23" s="8">
        <v>7.55</v>
      </c>
      <c r="V23" s="4"/>
      <c r="W23" s="7">
        <v>8.44</v>
      </c>
      <c r="X23" s="7">
        <v>10</v>
      </c>
      <c r="Y23" s="7">
        <v>10</v>
      </c>
      <c r="Z23" s="8">
        <v>8.6</v>
      </c>
      <c r="AA23" s="4"/>
      <c r="AB23" s="7">
        <v>8.61</v>
      </c>
      <c r="AC23" s="7">
        <v>10</v>
      </c>
      <c r="AD23" s="7">
        <v>10</v>
      </c>
      <c r="AE23" s="8">
        <v>8.75</v>
      </c>
      <c r="AF23" s="4"/>
      <c r="AG23" s="7">
        <v>8.36</v>
      </c>
      <c r="AH23" s="7">
        <v>10</v>
      </c>
      <c r="AI23" s="7">
        <v>10</v>
      </c>
      <c r="AJ23" s="8">
        <v>8.52</v>
      </c>
      <c r="AK23" s="4"/>
      <c r="AL23" s="7">
        <v>9.58</v>
      </c>
      <c r="AM23" s="7">
        <v>10</v>
      </c>
      <c r="AN23" s="7">
        <v>10</v>
      </c>
      <c r="AO23" s="8">
        <v>9.62</v>
      </c>
      <c r="AP23" s="13">
        <v>8</v>
      </c>
      <c r="AQ23" s="15">
        <v>0</v>
      </c>
      <c r="AR23" s="4">
        <f t="shared" si="0"/>
        <v>8</v>
      </c>
      <c r="AS23" s="4">
        <f t="shared" si="1"/>
        <v>8.66875</v>
      </c>
    </row>
    <row r="24" spans="1:45">
      <c r="A24" s="5" t="s">
        <v>59</v>
      </c>
      <c r="B24" s="6" t="s">
        <v>60</v>
      </c>
      <c r="C24" s="7">
        <v>7.72</v>
      </c>
      <c r="D24" s="7">
        <v>10</v>
      </c>
      <c r="E24" s="7">
        <v>10</v>
      </c>
      <c r="F24" s="8">
        <v>7.95</v>
      </c>
      <c r="G24" s="4"/>
      <c r="H24" s="7">
        <v>3.5</v>
      </c>
      <c r="I24" s="7">
        <v>10</v>
      </c>
      <c r="J24" s="7">
        <v>10</v>
      </c>
      <c r="K24" s="8">
        <v>4.15</v>
      </c>
      <c r="L24" s="4"/>
      <c r="M24" s="6"/>
      <c r="N24" s="6"/>
      <c r="O24" s="6"/>
      <c r="P24" s="6"/>
      <c r="Q24" s="4"/>
      <c r="R24" s="7">
        <v>6.72</v>
      </c>
      <c r="S24" s="7">
        <v>10</v>
      </c>
      <c r="T24" s="7">
        <v>10</v>
      </c>
      <c r="U24" s="8">
        <v>7.05</v>
      </c>
      <c r="V24" s="4"/>
      <c r="W24" s="7">
        <v>8.56</v>
      </c>
      <c r="X24" s="7">
        <v>10</v>
      </c>
      <c r="Y24" s="7">
        <v>10</v>
      </c>
      <c r="Z24" s="8">
        <v>8.7</v>
      </c>
      <c r="AA24" s="4"/>
      <c r="AB24" s="7">
        <v>7.83</v>
      </c>
      <c r="AC24" s="7">
        <v>10</v>
      </c>
      <c r="AD24" s="7">
        <v>10</v>
      </c>
      <c r="AE24" s="8">
        <v>8.05</v>
      </c>
      <c r="AF24" s="4"/>
      <c r="AG24" s="7">
        <v>6.71</v>
      </c>
      <c r="AH24" s="7">
        <v>10</v>
      </c>
      <c r="AI24" s="7">
        <v>10</v>
      </c>
      <c r="AJ24" s="8">
        <v>7.04</v>
      </c>
      <c r="AK24" s="4"/>
      <c r="AL24" s="7">
        <v>8.77</v>
      </c>
      <c r="AM24" s="7">
        <v>10</v>
      </c>
      <c r="AN24" s="7">
        <v>10</v>
      </c>
      <c r="AO24" s="8">
        <v>8.89</v>
      </c>
      <c r="AP24" s="13">
        <v>7</v>
      </c>
      <c r="AQ24" s="15">
        <v>1</v>
      </c>
      <c r="AR24" s="4">
        <f t="shared" si="0"/>
        <v>6</v>
      </c>
      <c r="AS24" s="4">
        <f t="shared" si="1"/>
        <v>7.40428571428571</v>
      </c>
    </row>
    <row r="25" spans="1:45">
      <c r="A25" s="5" t="s">
        <v>61</v>
      </c>
      <c r="B25" s="6" t="s">
        <v>62</v>
      </c>
      <c r="C25" s="7">
        <v>7.72</v>
      </c>
      <c r="D25" s="7">
        <v>0</v>
      </c>
      <c r="E25" s="7">
        <v>0</v>
      </c>
      <c r="F25" s="8">
        <v>6.95</v>
      </c>
      <c r="G25" s="4"/>
      <c r="H25" s="7">
        <v>7.79</v>
      </c>
      <c r="I25" s="7">
        <v>10</v>
      </c>
      <c r="J25" s="7">
        <v>10</v>
      </c>
      <c r="K25" s="8">
        <v>8.01</v>
      </c>
      <c r="L25" s="4"/>
      <c r="M25" s="7">
        <v>6.41</v>
      </c>
      <c r="N25" s="7">
        <v>10</v>
      </c>
      <c r="O25" s="7">
        <v>10</v>
      </c>
      <c r="P25" s="8">
        <v>6.59</v>
      </c>
      <c r="Q25" s="4"/>
      <c r="R25" s="6"/>
      <c r="S25" s="6"/>
      <c r="T25" s="6"/>
      <c r="U25" s="6"/>
      <c r="V25" s="4"/>
      <c r="W25" s="7">
        <v>8.42</v>
      </c>
      <c r="X25" s="7">
        <v>0</v>
      </c>
      <c r="Y25" s="7">
        <v>0</v>
      </c>
      <c r="Z25" s="8">
        <v>7.58</v>
      </c>
      <c r="AA25" s="4"/>
      <c r="AB25" s="7">
        <v>6.85</v>
      </c>
      <c r="AC25" s="7">
        <v>10</v>
      </c>
      <c r="AD25" s="7">
        <v>10</v>
      </c>
      <c r="AE25" s="8">
        <v>7.17</v>
      </c>
      <c r="AF25" s="4"/>
      <c r="AG25" s="7">
        <v>7.58</v>
      </c>
      <c r="AH25" s="7">
        <v>10</v>
      </c>
      <c r="AI25" s="7">
        <v>10</v>
      </c>
      <c r="AJ25" s="8">
        <v>7.82</v>
      </c>
      <c r="AK25" s="4"/>
      <c r="AL25" s="7">
        <v>7.56</v>
      </c>
      <c r="AM25" s="7">
        <v>0</v>
      </c>
      <c r="AN25" s="7">
        <v>0</v>
      </c>
      <c r="AO25" s="8">
        <v>6.8</v>
      </c>
      <c r="AP25" s="13">
        <v>7</v>
      </c>
      <c r="AQ25" s="15">
        <v>3</v>
      </c>
      <c r="AR25" s="4">
        <f t="shared" si="0"/>
        <v>4</v>
      </c>
      <c r="AS25" s="4">
        <f t="shared" si="1"/>
        <v>7.27428571428571</v>
      </c>
    </row>
    <row r="26" spans="1:45">
      <c r="A26" s="5" t="s">
        <v>63</v>
      </c>
      <c r="B26" s="6" t="s">
        <v>64</v>
      </c>
      <c r="C26" s="6"/>
      <c r="D26" s="6"/>
      <c r="E26" s="6"/>
      <c r="F26" s="6"/>
      <c r="G26" s="4"/>
      <c r="H26" s="7">
        <v>8.67</v>
      </c>
      <c r="I26" s="7">
        <v>10</v>
      </c>
      <c r="J26" s="7">
        <v>10</v>
      </c>
      <c r="K26" s="8">
        <v>8.8</v>
      </c>
      <c r="L26" s="4"/>
      <c r="M26" s="6"/>
      <c r="N26" s="6"/>
      <c r="O26" s="6"/>
      <c r="P26" s="6"/>
      <c r="Q26" s="4"/>
      <c r="R26" s="7">
        <v>6.57</v>
      </c>
      <c r="S26" s="7">
        <v>10</v>
      </c>
      <c r="T26" s="7">
        <v>10</v>
      </c>
      <c r="U26" s="8">
        <v>6.91</v>
      </c>
      <c r="V26" s="4"/>
      <c r="W26" s="7">
        <v>8.74</v>
      </c>
      <c r="X26" s="7">
        <v>10</v>
      </c>
      <c r="Y26" s="7">
        <v>10</v>
      </c>
      <c r="Z26" s="8">
        <v>8.87</v>
      </c>
      <c r="AA26" s="4"/>
      <c r="AB26" s="7">
        <v>8.06</v>
      </c>
      <c r="AC26" s="7">
        <v>10</v>
      </c>
      <c r="AD26" s="7">
        <v>10</v>
      </c>
      <c r="AE26" s="8">
        <v>8.25</v>
      </c>
      <c r="AF26" s="4"/>
      <c r="AG26" s="7">
        <v>8.42</v>
      </c>
      <c r="AH26" s="7">
        <v>10</v>
      </c>
      <c r="AI26" s="7">
        <v>10</v>
      </c>
      <c r="AJ26" s="8">
        <v>8.58</v>
      </c>
      <c r="AK26" s="4"/>
      <c r="AL26" s="7">
        <v>9.32</v>
      </c>
      <c r="AM26" s="7">
        <v>10</v>
      </c>
      <c r="AN26" s="7">
        <v>10</v>
      </c>
      <c r="AO26" s="8">
        <v>9.39</v>
      </c>
      <c r="AP26" s="13">
        <v>6</v>
      </c>
      <c r="AQ26" s="15">
        <v>1</v>
      </c>
      <c r="AR26" s="4">
        <f t="shared" si="0"/>
        <v>5</v>
      </c>
      <c r="AS26" s="4">
        <f t="shared" si="1"/>
        <v>8.46666666666667</v>
      </c>
    </row>
    <row r="27" spans="1:45">
      <c r="A27" s="5" t="s">
        <v>65</v>
      </c>
      <c r="B27" s="6" t="s">
        <v>66</v>
      </c>
      <c r="C27" s="6"/>
      <c r="D27" s="6"/>
      <c r="E27" s="6"/>
      <c r="F27" s="6"/>
      <c r="G27" s="4"/>
      <c r="H27" s="6"/>
      <c r="I27" s="6"/>
      <c r="J27" s="6"/>
      <c r="K27" s="6"/>
      <c r="L27" s="4"/>
      <c r="M27" s="7">
        <v>7.79</v>
      </c>
      <c r="N27" s="7">
        <v>10</v>
      </c>
      <c r="O27" s="7">
        <v>10</v>
      </c>
      <c r="P27" s="8">
        <v>7.9</v>
      </c>
      <c r="Q27" s="4"/>
      <c r="R27" s="7">
        <v>7.2</v>
      </c>
      <c r="S27" s="7">
        <v>10</v>
      </c>
      <c r="T27" s="7">
        <v>10</v>
      </c>
      <c r="U27" s="8">
        <v>7.48</v>
      </c>
      <c r="V27" s="4"/>
      <c r="W27" s="7">
        <v>8.44</v>
      </c>
      <c r="X27" s="7">
        <v>10</v>
      </c>
      <c r="Y27" s="7">
        <v>10</v>
      </c>
      <c r="Z27" s="8">
        <v>8.6</v>
      </c>
      <c r="AA27" s="4"/>
      <c r="AB27" s="7">
        <v>8.76</v>
      </c>
      <c r="AC27" s="7">
        <v>10</v>
      </c>
      <c r="AD27" s="7">
        <v>10</v>
      </c>
      <c r="AE27" s="8">
        <v>8.88</v>
      </c>
      <c r="AF27" s="4"/>
      <c r="AG27" s="7">
        <v>7.16</v>
      </c>
      <c r="AH27" s="7">
        <v>10</v>
      </c>
      <c r="AI27" s="7">
        <v>10</v>
      </c>
      <c r="AJ27" s="8">
        <v>7.44</v>
      </c>
      <c r="AK27" s="4"/>
      <c r="AL27" s="7">
        <v>9.12</v>
      </c>
      <c r="AM27" s="7">
        <v>10</v>
      </c>
      <c r="AN27" s="7">
        <v>10</v>
      </c>
      <c r="AO27" s="8">
        <v>9.21</v>
      </c>
      <c r="AP27" s="13">
        <v>6</v>
      </c>
      <c r="AQ27" s="15">
        <v>0</v>
      </c>
      <c r="AR27" s="4">
        <f t="shared" si="0"/>
        <v>6</v>
      </c>
      <c r="AS27" s="4">
        <f t="shared" si="1"/>
        <v>8.25166666666667</v>
      </c>
    </row>
    <row r="28" spans="1:45">
      <c r="A28" s="5" t="s">
        <v>67</v>
      </c>
      <c r="B28" s="6" t="s">
        <v>68</v>
      </c>
      <c r="C28" s="7">
        <v>9.72</v>
      </c>
      <c r="D28" s="7">
        <v>0</v>
      </c>
      <c r="E28" s="7">
        <v>10</v>
      </c>
      <c r="F28" s="8">
        <v>9.25</v>
      </c>
      <c r="G28" s="4"/>
      <c r="H28" s="7">
        <v>7.29</v>
      </c>
      <c r="I28" s="7">
        <v>10</v>
      </c>
      <c r="J28" s="7">
        <v>10</v>
      </c>
      <c r="K28" s="8">
        <v>7.56</v>
      </c>
      <c r="L28" s="4"/>
      <c r="M28" s="6"/>
      <c r="N28" s="6"/>
      <c r="O28" s="6"/>
      <c r="P28" s="6"/>
      <c r="Q28" s="4"/>
      <c r="R28" s="6"/>
      <c r="S28" s="6"/>
      <c r="T28" s="6"/>
      <c r="U28" s="6"/>
      <c r="V28" s="4"/>
      <c r="W28" s="7">
        <v>7.92</v>
      </c>
      <c r="X28" s="7">
        <v>10</v>
      </c>
      <c r="Y28" s="7">
        <v>10</v>
      </c>
      <c r="Z28" s="8">
        <v>8.13</v>
      </c>
      <c r="AA28" s="4"/>
      <c r="AB28" s="7">
        <v>8.53</v>
      </c>
      <c r="AC28" s="7">
        <v>10</v>
      </c>
      <c r="AD28" s="7">
        <v>10</v>
      </c>
      <c r="AE28" s="8">
        <v>8.68</v>
      </c>
      <c r="AF28" s="4"/>
      <c r="AG28" s="7">
        <v>7.56</v>
      </c>
      <c r="AH28" s="7">
        <v>10</v>
      </c>
      <c r="AI28" s="7">
        <v>10</v>
      </c>
      <c r="AJ28" s="8">
        <v>7.8</v>
      </c>
      <c r="AK28" s="4"/>
      <c r="AL28" s="7">
        <v>9.38</v>
      </c>
      <c r="AM28" s="7">
        <v>10</v>
      </c>
      <c r="AN28" s="7">
        <v>10</v>
      </c>
      <c r="AO28" s="8">
        <v>9.44</v>
      </c>
      <c r="AP28" s="13">
        <v>6</v>
      </c>
      <c r="AQ28" s="15">
        <v>0</v>
      </c>
      <c r="AR28" s="4">
        <f t="shared" si="0"/>
        <v>6</v>
      </c>
      <c r="AS28" s="4">
        <f t="shared" si="1"/>
        <v>8.47666666666666</v>
      </c>
    </row>
    <row r="29" spans="1:45">
      <c r="A29" s="5" t="s">
        <v>69</v>
      </c>
      <c r="B29" s="6" t="s">
        <v>70</v>
      </c>
      <c r="C29" s="7">
        <v>9.17</v>
      </c>
      <c r="D29" s="7">
        <v>0</v>
      </c>
      <c r="E29" s="7">
        <v>0</v>
      </c>
      <c r="F29" s="8">
        <v>8.25</v>
      </c>
      <c r="G29" s="4"/>
      <c r="H29" s="7">
        <v>8.56</v>
      </c>
      <c r="I29" s="7">
        <v>10</v>
      </c>
      <c r="J29" s="7">
        <v>10</v>
      </c>
      <c r="K29" s="8">
        <v>8.7</v>
      </c>
      <c r="L29" s="4"/>
      <c r="M29" s="7">
        <v>6.65</v>
      </c>
      <c r="N29" s="7">
        <v>10</v>
      </c>
      <c r="O29" s="7">
        <v>10</v>
      </c>
      <c r="P29" s="8">
        <v>6.82</v>
      </c>
      <c r="Q29" s="4"/>
      <c r="R29" s="7">
        <v>10</v>
      </c>
      <c r="S29" s="7">
        <v>10</v>
      </c>
      <c r="T29" s="7">
        <v>10</v>
      </c>
      <c r="U29" s="8">
        <v>10</v>
      </c>
      <c r="V29" s="4"/>
      <c r="W29" s="7">
        <v>8.71</v>
      </c>
      <c r="X29" s="7">
        <v>10</v>
      </c>
      <c r="Y29" s="7">
        <v>10</v>
      </c>
      <c r="Z29" s="8">
        <v>8.84</v>
      </c>
      <c r="AA29" s="4"/>
      <c r="AB29" s="7">
        <v>8.22</v>
      </c>
      <c r="AC29" s="7">
        <v>10</v>
      </c>
      <c r="AD29" s="7">
        <v>10</v>
      </c>
      <c r="AE29" s="8">
        <v>8.4</v>
      </c>
      <c r="AF29" s="4"/>
      <c r="AG29" s="7">
        <v>8.53</v>
      </c>
      <c r="AH29" s="7">
        <v>10</v>
      </c>
      <c r="AI29" s="7">
        <v>10</v>
      </c>
      <c r="AJ29" s="8">
        <v>8.68</v>
      </c>
      <c r="AK29" s="4"/>
      <c r="AL29" s="7">
        <v>9.47</v>
      </c>
      <c r="AM29" s="7">
        <v>10</v>
      </c>
      <c r="AN29" s="7">
        <v>10</v>
      </c>
      <c r="AO29" s="8">
        <v>9.52</v>
      </c>
      <c r="AP29" s="13">
        <v>8</v>
      </c>
      <c r="AQ29" s="15">
        <v>1</v>
      </c>
      <c r="AR29" s="4">
        <f t="shared" si="0"/>
        <v>7</v>
      </c>
      <c r="AS29" s="4">
        <f t="shared" si="1"/>
        <v>8.65125</v>
      </c>
    </row>
    <row r="30" spans="1:45">
      <c r="A30" s="5" t="s">
        <v>71</v>
      </c>
      <c r="B30" s="6" t="s">
        <v>72</v>
      </c>
      <c r="C30" s="7">
        <v>9.17</v>
      </c>
      <c r="D30" s="7">
        <v>10</v>
      </c>
      <c r="E30" s="7">
        <v>10</v>
      </c>
      <c r="F30" s="8">
        <v>9.25</v>
      </c>
      <c r="G30" s="4"/>
      <c r="H30" s="7">
        <v>6.66</v>
      </c>
      <c r="I30" s="7">
        <v>10</v>
      </c>
      <c r="J30" s="7">
        <v>10</v>
      </c>
      <c r="K30" s="8">
        <v>6.99</v>
      </c>
      <c r="L30" s="4"/>
      <c r="M30" s="7">
        <v>5.55</v>
      </c>
      <c r="N30" s="7">
        <v>10</v>
      </c>
      <c r="O30" s="7">
        <v>10</v>
      </c>
      <c r="P30" s="8">
        <v>5.77</v>
      </c>
      <c r="Q30" s="4"/>
      <c r="R30" s="7">
        <v>4.73</v>
      </c>
      <c r="S30" s="7">
        <v>10</v>
      </c>
      <c r="T30" s="7">
        <v>10</v>
      </c>
      <c r="U30" s="8">
        <v>5.26</v>
      </c>
      <c r="V30" s="4"/>
      <c r="W30" s="7">
        <v>8.69</v>
      </c>
      <c r="X30" s="7">
        <v>10</v>
      </c>
      <c r="Y30" s="7">
        <v>10</v>
      </c>
      <c r="Z30" s="8">
        <v>8.82</v>
      </c>
      <c r="AA30" s="4"/>
      <c r="AB30" s="7">
        <v>6.37</v>
      </c>
      <c r="AC30" s="7">
        <v>10</v>
      </c>
      <c r="AD30" s="7">
        <v>10</v>
      </c>
      <c r="AE30" s="8">
        <v>6.73</v>
      </c>
      <c r="AF30" s="4"/>
      <c r="AG30" s="7">
        <v>7.24</v>
      </c>
      <c r="AH30" s="7">
        <v>10</v>
      </c>
      <c r="AI30" s="7">
        <v>0</v>
      </c>
      <c r="AJ30" s="8">
        <v>7.02</v>
      </c>
      <c r="AK30" s="4"/>
      <c r="AL30" s="7">
        <v>8.4</v>
      </c>
      <c r="AM30" s="7">
        <v>10</v>
      </c>
      <c r="AN30" s="7">
        <v>10</v>
      </c>
      <c r="AO30" s="8">
        <v>8.56</v>
      </c>
      <c r="AP30" s="13">
        <v>8</v>
      </c>
      <c r="AQ30" s="15">
        <v>4</v>
      </c>
      <c r="AR30" s="4">
        <f t="shared" si="0"/>
        <v>4</v>
      </c>
      <c r="AS30" s="4">
        <f t="shared" si="1"/>
        <v>7.3</v>
      </c>
    </row>
    <row r="31" spans="1:45">
      <c r="A31" s="5" t="s">
        <v>73</v>
      </c>
      <c r="B31" s="6" t="s">
        <v>74</v>
      </c>
      <c r="C31" s="7">
        <v>7.72</v>
      </c>
      <c r="D31" s="7">
        <v>10</v>
      </c>
      <c r="E31" s="7">
        <v>10</v>
      </c>
      <c r="F31" s="8">
        <v>7.95</v>
      </c>
      <c r="G31" s="4"/>
      <c r="H31" s="7">
        <v>7.16</v>
      </c>
      <c r="I31" s="7">
        <v>10</v>
      </c>
      <c r="J31" s="7">
        <v>10</v>
      </c>
      <c r="K31" s="8">
        <v>7.44</v>
      </c>
      <c r="L31" s="4"/>
      <c r="M31" s="7">
        <v>7.45</v>
      </c>
      <c r="N31" s="7">
        <v>10</v>
      </c>
      <c r="O31" s="7">
        <v>10</v>
      </c>
      <c r="P31" s="8">
        <v>7.58</v>
      </c>
      <c r="Q31" s="4"/>
      <c r="R31" s="7">
        <v>7.18</v>
      </c>
      <c r="S31" s="7">
        <v>10</v>
      </c>
      <c r="T31" s="7">
        <v>10</v>
      </c>
      <c r="U31" s="8">
        <v>7.46</v>
      </c>
      <c r="V31" s="4"/>
      <c r="W31" s="7">
        <v>8.74</v>
      </c>
      <c r="X31" s="7">
        <v>10</v>
      </c>
      <c r="Y31" s="7">
        <v>10</v>
      </c>
      <c r="Z31" s="8">
        <v>8.87</v>
      </c>
      <c r="AA31" s="4"/>
      <c r="AB31" s="7">
        <v>8.33</v>
      </c>
      <c r="AC31" s="7">
        <v>10</v>
      </c>
      <c r="AD31" s="7">
        <v>10</v>
      </c>
      <c r="AE31" s="8">
        <v>8.5</v>
      </c>
      <c r="AF31" s="4"/>
      <c r="AG31" s="7">
        <v>8.4</v>
      </c>
      <c r="AH31" s="7">
        <v>10</v>
      </c>
      <c r="AI31" s="7">
        <v>10</v>
      </c>
      <c r="AJ31" s="8">
        <v>8.56</v>
      </c>
      <c r="AK31" s="4"/>
      <c r="AL31" s="7">
        <v>9</v>
      </c>
      <c r="AM31" s="7">
        <v>10</v>
      </c>
      <c r="AN31" s="7">
        <v>10</v>
      </c>
      <c r="AO31" s="8">
        <v>9.1</v>
      </c>
      <c r="AP31" s="13">
        <v>8</v>
      </c>
      <c r="AQ31" s="15">
        <v>0</v>
      </c>
      <c r="AR31" s="4">
        <f t="shared" si="0"/>
        <v>8</v>
      </c>
      <c r="AS31" s="4">
        <f t="shared" si="1"/>
        <v>8.1825</v>
      </c>
    </row>
    <row r="32" spans="1:45">
      <c r="A32" s="5" t="s">
        <v>75</v>
      </c>
      <c r="B32" s="6" t="s">
        <v>76</v>
      </c>
      <c r="C32" s="7">
        <v>9.72</v>
      </c>
      <c r="D32" s="7">
        <v>10</v>
      </c>
      <c r="E32" s="7">
        <v>10</v>
      </c>
      <c r="F32" s="8">
        <v>9.75</v>
      </c>
      <c r="G32" s="4"/>
      <c r="H32" s="7">
        <v>8.12</v>
      </c>
      <c r="I32" s="7">
        <v>10</v>
      </c>
      <c r="J32" s="7">
        <v>10</v>
      </c>
      <c r="K32" s="8">
        <v>8.31</v>
      </c>
      <c r="L32" s="4"/>
      <c r="M32" s="7">
        <v>7.68</v>
      </c>
      <c r="N32" s="7">
        <v>10</v>
      </c>
      <c r="O32" s="7">
        <v>10</v>
      </c>
      <c r="P32" s="8">
        <v>7.8</v>
      </c>
      <c r="Q32" s="4"/>
      <c r="R32" s="7">
        <v>5.35</v>
      </c>
      <c r="S32" s="7">
        <v>10</v>
      </c>
      <c r="T32" s="7">
        <v>10</v>
      </c>
      <c r="U32" s="8">
        <v>5.81</v>
      </c>
      <c r="V32" s="4"/>
      <c r="W32" s="7">
        <v>8.58</v>
      </c>
      <c r="X32" s="7">
        <v>10</v>
      </c>
      <c r="Y32" s="7">
        <v>10</v>
      </c>
      <c r="Z32" s="8">
        <v>8.72</v>
      </c>
      <c r="AA32" s="4"/>
      <c r="AB32" s="7">
        <v>8.87</v>
      </c>
      <c r="AC32" s="7">
        <v>10</v>
      </c>
      <c r="AD32" s="7">
        <v>10</v>
      </c>
      <c r="AE32" s="8">
        <v>8.98</v>
      </c>
      <c r="AF32" s="4"/>
      <c r="AG32" s="7">
        <v>8.22</v>
      </c>
      <c r="AH32" s="7">
        <v>10</v>
      </c>
      <c r="AI32" s="7">
        <v>10</v>
      </c>
      <c r="AJ32" s="8">
        <v>8.4</v>
      </c>
      <c r="AK32" s="4"/>
      <c r="AL32" s="7">
        <v>9.81</v>
      </c>
      <c r="AM32" s="7">
        <v>10</v>
      </c>
      <c r="AN32" s="7">
        <v>10</v>
      </c>
      <c r="AO32" s="8">
        <v>9.83</v>
      </c>
      <c r="AP32" s="13">
        <v>8</v>
      </c>
      <c r="AQ32" s="15">
        <v>1</v>
      </c>
      <c r="AR32" s="4">
        <f t="shared" si="0"/>
        <v>7</v>
      </c>
      <c r="AS32" s="4">
        <f t="shared" si="1"/>
        <v>8.45</v>
      </c>
    </row>
    <row r="33" spans="1:45">
      <c r="A33" s="5" t="s">
        <v>77</v>
      </c>
      <c r="B33" s="6" t="s">
        <v>78</v>
      </c>
      <c r="C33" s="7">
        <v>9.44</v>
      </c>
      <c r="D33" s="7">
        <v>10</v>
      </c>
      <c r="E33" s="7">
        <v>10</v>
      </c>
      <c r="F33" s="8">
        <v>9.5</v>
      </c>
      <c r="G33" s="4"/>
      <c r="H33" s="7">
        <v>7.73</v>
      </c>
      <c r="I33" s="7">
        <v>10</v>
      </c>
      <c r="J33" s="7">
        <v>10</v>
      </c>
      <c r="K33" s="8">
        <v>7.96</v>
      </c>
      <c r="L33" s="4"/>
      <c r="M33" s="7">
        <v>8.14</v>
      </c>
      <c r="N33" s="7">
        <v>10</v>
      </c>
      <c r="O33" s="7">
        <v>10</v>
      </c>
      <c r="P33" s="8">
        <v>8.23</v>
      </c>
      <c r="Q33" s="4"/>
      <c r="R33" s="6"/>
      <c r="S33" s="6"/>
      <c r="T33" s="6"/>
      <c r="U33" s="6"/>
      <c r="V33" s="4"/>
      <c r="W33" s="7">
        <v>9.33</v>
      </c>
      <c r="X33" s="7">
        <v>10</v>
      </c>
      <c r="Y33" s="7">
        <v>10</v>
      </c>
      <c r="Z33" s="8">
        <v>9.4</v>
      </c>
      <c r="AA33" s="4"/>
      <c r="AB33" s="7">
        <v>8.35</v>
      </c>
      <c r="AC33" s="7">
        <v>10</v>
      </c>
      <c r="AD33" s="7">
        <v>10</v>
      </c>
      <c r="AE33" s="8">
        <v>8.52</v>
      </c>
      <c r="AF33" s="4"/>
      <c r="AG33" s="7">
        <v>7.6</v>
      </c>
      <c r="AH33" s="7">
        <v>10</v>
      </c>
      <c r="AI33" s="7">
        <v>10</v>
      </c>
      <c r="AJ33" s="8">
        <v>7.84</v>
      </c>
      <c r="AK33" s="4"/>
      <c r="AL33" s="7">
        <v>8.58</v>
      </c>
      <c r="AM33" s="7">
        <v>10</v>
      </c>
      <c r="AN33" s="7">
        <v>10</v>
      </c>
      <c r="AO33" s="8">
        <v>8.72</v>
      </c>
      <c r="AP33" s="13">
        <v>7</v>
      </c>
      <c r="AQ33" s="15">
        <v>0</v>
      </c>
      <c r="AR33" s="4">
        <f t="shared" si="0"/>
        <v>7</v>
      </c>
      <c r="AS33" s="4">
        <f t="shared" si="1"/>
        <v>8.59571428571429</v>
      </c>
    </row>
    <row r="34" spans="1:45">
      <c r="A34" s="5" t="s">
        <v>79</v>
      </c>
      <c r="B34" s="6" t="s">
        <v>80</v>
      </c>
      <c r="C34" s="9">
        <v>7.72</v>
      </c>
      <c r="D34" s="9">
        <v>10</v>
      </c>
      <c r="E34" s="9">
        <v>10</v>
      </c>
      <c r="F34" s="10">
        <v>7.95</v>
      </c>
      <c r="G34" s="4"/>
      <c r="H34" s="9">
        <v>6.39</v>
      </c>
      <c r="I34" s="9">
        <v>10</v>
      </c>
      <c r="J34" s="9">
        <v>10</v>
      </c>
      <c r="K34" s="10">
        <v>6.75</v>
      </c>
      <c r="L34" s="4"/>
      <c r="M34" s="11"/>
      <c r="N34" s="11"/>
      <c r="O34" s="11"/>
      <c r="P34" s="11"/>
      <c r="Q34" s="4"/>
      <c r="R34" s="11"/>
      <c r="S34" s="11"/>
      <c r="T34" s="11"/>
      <c r="U34" s="11"/>
      <c r="V34" s="4"/>
      <c r="W34" s="9">
        <v>7.56</v>
      </c>
      <c r="X34" s="9">
        <v>10</v>
      </c>
      <c r="Y34" s="9">
        <v>10</v>
      </c>
      <c r="Z34" s="10">
        <v>7.8</v>
      </c>
      <c r="AA34" s="4"/>
      <c r="AB34" s="9">
        <v>6.96</v>
      </c>
      <c r="AC34" s="9">
        <v>10</v>
      </c>
      <c r="AD34" s="9">
        <v>10</v>
      </c>
      <c r="AE34" s="10">
        <v>7.26</v>
      </c>
      <c r="AF34" s="4"/>
      <c r="AG34" s="11"/>
      <c r="AH34" s="11"/>
      <c r="AI34" s="11"/>
      <c r="AJ34" s="11"/>
      <c r="AK34" s="4"/>
      <c r="AL34" s="9">
        <v>8.81</v>
      </c>
      <c r="AM34" s="9">
        <v>10</v>
      </c>
      <c r="AN34" s="9">
        <v>10</v>
      </c>
      <c r="AO34" s="10">
        <v>8.93</v>
      </c>
      <c r="AP34" s="13">
        <v>5</v>
      </c>
      <c r="AQ34" s="15">
        <v>1</v>
      </c>
      <c r="AR34" s="4">
        <f t="shared" si="0"/>
        <v>4</v>
      </c>
      <c r="AS34" s="4">
        <f t="shared" si="1"/>
        <v>7.738</v>
      </c>
    </row>
  </sheetData>
  <mergeCells count="8">
    <mergeCell ref="C1:F1"/>
    <mergeCell ref="H1:K1"/>
    <mergeCell ref="M1:P1"/>
    <mergeCell ref="R1:U1"/>
    <mergeCell ref="W1:Z1"/>
    <mergeCell ref="AB1:AE1"/>
    <mergeCell ref="AG1:AJ1"/>
    <mergeCell ref="AL1:AO1"/>
  </mergeCells>
  <conditionalFormatting sqref="AO3:AO34">
    <cfRule type="cellIs" dxfId="0" priority="1" operator="lessThan">
      <formula>7</formula>
    </cfRule>
  </conditionalFormatting>
  <conditionalFormatting sqref="F3 F28:F34 F22:F25 F9:F10 F5:F7 F12:F20">
    <cfRule type="cellIs" dxfId="0" priority="8" operator="lessThan">
      <formula>7</formula>
    </cfRule>
  </conditionalFormatting>
  <conditionalFormatting sqref="K3:K11 K28:K34 K13:K26">
    <cfRule type="cellIs" dxfId="0" priority="7" operator="lessThan">
      <formula>7</formula>
    </cfRule>
  </conditionalFormatting>
  <conditionalFormatting sqref="P3 P29:P33 P27 P25 P23 P20:P21 P17:P18 P5:P15">
    <cfRule type="cellIs" dxfId="0" priority="6" operator="lessThan">
      <formula>7</formula>
    </cfRule>
  </conditionalFormatting>
  <conditionalFormatting sqref="Z21:Z34 Z3:Z19">
    <cfRule type="cellIs" dxfId="0" priority="4" operator="lessThan">
      <formula>7</formula>
    </cfRule>
  </conditionalFormatting>
  <conditionalFormatting sqref="AE20:AE34 AE3:AE18">
    <cfRule type="cellIs" dxfId="0" priority="3" operator="lessThan">
      <formula>7</formula>
    </cfRule>
  </conditionalFormatting>
  <conditionalFormatting sqref="AJ21:AJ33 AJ3:AJ19">
    <cfRule type="cellIs" dxfId="0" priority="2" operator="lessThan">
      <formula>7</formula>
    </cfRule>
  </conditionalFormatting>
  <conditionalFormatting sqref="U5:U7 U10:U15 U17:U19 U22:U24 U26:U27 U29:U32">
    <cfRule type="cellIs" dxfId="0" priority="5" operator="lessThan">
      <formula>7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2025-11-01T21:13:23Z</dcterms:created>
  <dcterms:modified xsi:type="dcterms:W3CDTF">2025-11-01T21:17:00Z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7AE6BF600CDB410EA65911AFE9DDC4A6_11</vt:lpwstr>
  </property>
  <property fmtid="{D5CDD505-2E9C-101B-9397-08002B2CF9AE}" pid="3" name="KSOProductBuildVer">
    <vt:lpwstr>2057-12.2.0.23149</vt:lpwstr>
  </property>
</Properties>
</file>